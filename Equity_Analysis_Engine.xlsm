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lin\Downloads\Proj V1\for GitHub\"/>
    </mc:Choice>
  </mc:AlternateContent>
  <xr:revisionPtr revIDLastSave="0" documentId="13_ncr:1_{6E9C3A1E-92A6-4856-B960-8C6CBFA2017F}" xr6:coauthVersionLast="47" xr6:coauthVersionMax="47" xr10:uidLastSave="{00000000-0000-0000-0000-000000000000}"/>
  <bookViews>
    <workbookView xWindow="-108" yWindow="-108" windowWidth="30936" windowHeight="16776" firstSheet="3" activeTab="8" xr2:uid="{98B2E26E-282B-40DF-9271-A320BD01DA3A}"/>
  </bookViews>
  <sheets>
    <sheet name="Dashboard" sheetId="83" r:id="rId1"/>
    <sheet name="Raw_Quote" sheetId="36" state="hidden" r:id="rId2"/>
    <sheet name="Raw_CashFlow" sheetId="35" state="hidden" r:id="rId3"/>
    <sheet name="Cash Flow Statement" sheetId="82" r:id="rId4"/>
    <sheet name="Raw_Balance" sheetId="34" state="hidden" r:id="rId5"/>
    <sheet name="Balance Sheet" sheetId="81" r:id="rId6"/>
    <sheet name="Raw_Income" sheetId="33" state="hidden" r:id="rId7"/>
    <sheet name="Income Statement" sheetId="80" r:id="rId8"/>
    <sheet name="Model Control" sheetId="8" r:id="rId9"/>
    <sheet name="Historical Metrics" sheetId="75" r:id="rId10"/>
    <sheet name="Forward Estimates" sheetId="84" r:id="rId11"/>
    <sheet name="Peer Comparison" sheetId="85" state="hidden" r:id="rId12"/>
    <sheet name="Valuation &amp; Return" sheetId="86" r:id="rId13"/>
    <sheet name="Risk Check" sheetId="87" state="hidden" r:id="rId14"/>
  </sheets>
  <functionGroups builtInGroupCount="19"/>
  <definedNames>
    <definedName name="_xleta.AND" hidden="1" xlm="1">#NAME?</definedName>
    <definedName name="_xleta.AVERAGE" hidden="1" xlm="1">#NAME?</definedName>
    <definedName name="_xleta.IF" hidden="1" xlm="1">#NAME?</definedName>
    <definedName name="_xleta.MEDIAN" hidden="1" xlm="1">#NAME?</definedName>
    <definedName name="_xleta.N" hidden="1" xlm="1">#NAME?</definedName>
    <definedName name="_xleta.SHEET" hidden="1" xlm="1">#NAME?</definedName>
    <definedName name="_xleta.SHEETS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84" l="1"/>
  <c r="AQ36" i="84"/>
  <c r="B48" i="75"/>
  <c r="F49" i="84"/>
  <c r="J48" i="75"/>
  <c r="K48" i="75"/>
  <c r="L48" i="75"/>
  <c r="I48" i="75"/>
  <c r="H48" i="75"/>
  <c r="B44" i="86"/>
  <c r="AA12" i="86"/>
  <c r="L41" i="86" a="1"/>
  <c r="L41" i="86" s="1"/>
  <c r="H56" i="84"/>
  <c r="J56" i="84" s="1"/>
  <c r="N29" i="84"/>
  <c r="S29" i="84" s="1"/>
  <c r="H29" i="84"/>
  <c r="AC29" i="84" s="1"/>
  <c r="R29" i="84"/>
  <c r="P29" i="84"/>
  <c r="Q29" i="84"/>
  <c r="O29" i="84"/>
  <c r="H49" i="84" l="1"/>
  <c r="I49" i="84" s="1"/>
  <c r="J49" i="84" s="1"/>
  <c r="K49" i="84" s="1"/>
  <c r="L49" i="84" s="1"/>
  <c r="B37" i="84" l="1"/>
  <c r="J29" i="84"/>
  <c r="K29" i="84"/>
  <c r="L29" i="84"/>
  <c r="I29" i="84"/>
  <c r="B6" i="8"/>
  <c r="R36" i="84"/>
  <c r="S36" i="84"/>
  <c r="T36" i="84"/>
  <c r="Q36" i="84"/>
  <c r="P36" i="84"/>
  <c r="I36" i="84"/>
  <c r="I14" i="75"/>
  <c r="P9" i="84"/>
  <c r="Q9" i="84"/>
  <c r="R9" i="84"/>
  <c r="O9" i="84"/>
  <c r="N9" i="84"/>
  <c r="N7" i="84"/>
  <c r="AC12" i="86"/>
  <c r="B6" i="86"/>
  <c r="B5" i="86"/>
  <c r="B4" i="86"/>
  <c r="B47" i="75"/>
  <c r="B41" i="75"/>
  <c r="B40" i="75"/>
  <c r="I34" i="75"/>
  <c r="B34" i="75" s="1"/>
  <c r="B33" i="75"/>
  <c r="B32" i="75"/>
  <c r="B23" i="75"/>
  <c r="B22" i="75"/>
  <c r="E25" i="75"/>
  <c r="I24" i="75"/>
  <c r="W49" i="75"/>
  <c r="K15" i="75"/>
  <c r="L15" i="75"/>
  <c r="M15" i="75"/>
  <c r="J15" i="75"/>
  <c r="I15" i="75"/>
  <c r="B20" i="84" s="1"/>
  <c r="B6" i="75"/>
  <c r="L5" i="75"/>
  <c r="K5" i="75"/>
  <c r="J5" i="75"/>
  <c r="I5" i="75"/>
  <c r="B5" i="75" s="1"/>
  <c r="B15" i="75" l="1"/>
  <c r="B40" i="84"/>
  <c r="W12" i="86"/>
  <c r="AF12" i="86" s="1"/>
  <c r="K41" i="86"/>
  <c r="B9" i="84"/>
  <c r="E18" i="84" l="1"/>
  <c r="G14" i="84"/>
  <c r="H14" i="84"/>
  <c r="I14" i="84"/>
  <c r="F14" i="84"/>
  <c r="E14" i="84"/>
  <c r="G18" i="84"/>
  <c r="H18" i="84"/>
  <c r="I18" i="84"/>
  <c r="F18" i="84"/>
  <c r="G54" i="75"/>
  <c r="H54" i="75"/>
  <c r="I54" i="75"/>
  <c r="F54" i="75"/>
  <c r="E54" i="75"/>
  <c r="G53" i="75"/>
  <c r="H53" i="75"/>
  <c r="I53" i="75"/>
  <c r="F53" i="75"/>
  <c r="E53" i="75"/>
  <c r="B53" i="75" s="1"/>
  <c r="AH34" i="75" a="1"/>
  <c r="AH34" i="75" s="1"/>
  <c r="B31" i="75"/>
  <c r="G25" i="75"/>
  <c r="H25" i="75"/>
  <c r="I25" i="75"/>
  <c r="F25" i="75"/>
  <c r="B25" i="75" s="1"/>
  <c r="K24" i="75"/>
  <c r="L24" i="75"/>
  <c r="M24" i="75"/>
  <c r="J24" i="75"/>
  <c r="AH22" i="75" a="1"/>
  <c r="AH22" i="75" s="1"/>
  <c r="Y49" i="75"/>
  <c r="Z49" i="75"/>
  <c r="AA49" i="75"/>
  <c r="X49" i="75"/>
  <c r="R49" i="75"/>
  <c r="AD49" i="75" s="1"/>
  <c r="Q49" i="75"/>
  <c r="AC49" i="75" s="1"/>
  <c r="M49" i="75"/>
  <c r="S49" i="75" s="1"/>
  <c r="N49" i="75"/>
  <c r="T49" i="75" s="1"/>
  <c r="O49" i="75"/>
  <c r="U49" i="75" s="1"/>
  <c r="L49" i="75"/>
  <c r="K49" i="75"/>
  <c r="M14" i="75"/>
  <c r="L14" i="75"/>
  <c r="K14" i="75"/>
  <c r="J14" i="75"/>
  <c r="B13" i="75"/>
  <c r="AH13" i="75" s="1" a="1"/>
  <c r="AH13" i="75" s="1"/>
  <c r="B12" i="75"/>
  <c r="AH6" i="75" a="1"/>
  <c r="AH6" i="75" s="1"/>
  <c r="B4" i="75"/>
  <c r="AH4" i="75" s="1" a="1"/>
  <c r="AH4" i="75" s="1"/>
  <c r="AG49" i="75" l="1"/>
  <c r="B54" i="75"/>
  <c r="B16" i="84"/>
  <c r="B21" i="84" s="1"/>
  <c r="B14" i="75"/>
  <c r="B17" i="84"/>
  <c r="AE49" i="75"/>
  <c r="B24" i="75"/>
  <c r="B14" i="84"/>
  <c r="B18" i="84"/>
  <c r="B15" i="84"/>
  <c r="AH33" i="75" a="1"/>
  <c r="AH33" i="75" s="1"/>
  <c r="AF49" i="75"/>
  <c r="B16" i="75" s="1"/>
  <c r="B49" i="75" l="1"/>
  <c r="AH49" i="75" s="1" a="1"/>
  <c r="AH49" i="75" s="1"/>
  <c r="AH47" i="75" l="1" a="1"/>
  <c r="AH47" i="75" s="1"/>
  <c r="B3" i="75"/>
  <c r="B3" i="84" s="1"/>
  <c r="B13" i="8"/>
  <c r="AH41" i="75" a="1"/>
  <c r="AH41" i="75" s="1"/>
  <c r="B3" i="86"/>
  <c r="J36" i="84"/>
  <c r="K36" i="84" s="1"/>
  <c r="AG29" i="84"/>
  <c r="AE29" i="84"/>
  <c r="AF29" i="84"/>
  <c r="AD29" i="84"/>
  <c r="I3" i="84"/>
  <c r="AH40" i="75" a="1"/>
  <c r="AH40" i="75" s="1"/>
  <c r="P8" i="84"/>
  <c r="Q8" i="84"/>
  <c r="R8" i="84"/>
  <c r="O8" i="84"/>
  <c r="N8" i="84"/>
  <c r="P7" i="84"/>
  <c r="Q7" i="84"/>
  <c r="R7" i="84"/>
  <c r="O7" i="84"/>
  <c r="I7" i="75"/>
  <c r="I8" i="75"/>
  <c r="AH32" i="75" a="1"/>
  <c r="AH32" i="75" s="1"/>
  <c r="AH31" i="75" a="1"/>
  <c r="AH31" i="75" s="1"/>
  <c r="AH23" i="75" a="1"/>
  <c r="AH23" i="75" s="1"/>
  <c r="AH12" i="75" a="1"/>
  <c r="AH12" i="75" s="1"/>
  <c r="Q47" i="84" l="1"/>
  <c r="R3" i="84"/>
  <c r="X3" i="84" s="1"/>
  <c r="B37" i="75"/>
  <c r="AH3" i="75" a="1"/>
  <c r="AH3" i="75" s="1"/>
  <c r="AH29" i="84"/>
  <c r="B39" i="84"/>
  <c r="L40" i="86"/>
  <c r="B38" i="84"/>
  <c r="B7" i="84"/>
  <c r="B8" i="84"/>
  <c r="B44" i="75"/>
  <c r="AH5" i="75" a="1"/>
  <c r="AH5" i="75" s="1"/>
  <c r="B9" i="75" s="1"/>
  <c r="B9" i="8"/>
  <c r="B10" i="8"/>
  <c r="B11" i="8"/>
  <c r="B62" i="84" a="1"/>
  <c r="B62" i="84" s="1"/>
  <c r="B11" i="86"/>
  <c r="B10" i="86" s="1"/>
  <c r="P3" i="84"/>
  <c r="AH14" i="75" a="1"/>
  <c r="AH14" i="75" s="1"/>
  <c r="AH54" i="75" a="1"/>
  <c r="AH54" i="75" s="1"/>
  <c r="AH25" i="75" a="1"/>
  <c r="AH25" i="75" s="1"/>
  <c r="AH53" i="75" a="1"/>
  <c r="AH53" i="75" s="1"/>
  <c r="AH24" i="75" a="1"/>
  <c r="AH24" i="75" s="1"/>
  <c r="B28" i="75" s="1"/>
  <c r="AH48" i="75" a="1"/>
  <c r="AH48" i="75" s="1"/>
  <c r="B50" i="75" s="1"/>
  <c r="AH15" i="75" a="1"/>
  <c r="AH15" i="75" s="1"/>
  <c r="I11" i="84" l="1"/>
  <c r="B11" i="84" s="1"/>
  <c r="S3" i="84" s="1"/>
  <c r="AE12" i="86"/>
  <c r="B14" i="86" s="1"/>
  <c r="B12" i="86" s="1"/>
  <c r="B55" i="75"/>
  <c r="Y3" i="84" l="1"/>
  <c r="T3" i="84"/>
  <c r="I41" i="84"/>
  <c r="Q41" i="84"/>
  <c r="K47" i="84"/>
  <c r="I48" i="84"/>
  <c r="Q48" i="84" s="1"/>
  <c r="F51" i="84" s="1"/>
  <c r="G23" i="84"/>
  <c r="V29" i="84" s="1"/>
  <c r="H26" i="84"/>
  <c r="AH16" i="75" a="1"/>
  <c r="AH16" i="75" s="1"/>
  <c r="B19" i="75" s="1"/>
  <c r="U3" i="84" l="1"/>
  <c r="V3" i="84" s="1"/>
  <c r="Z3" i="84"/>
  <c r="N47" i="84"/>
  <c r="I47" i="84"/>
  <c r="R47" i="84" s="1"/>
  <c r="H23" i="84" s="1"/>
  <c r="W29" i="84" s="1"/>
  <c r="J47" i="84"/>
  <c r="W41" i="84"/>
  <c r="AC41" i="84"/>
  <c r="W48" i="84"/>
  <c r="B16" i="86" s="1"/>
  <c r="B36" i="86" s="1"/>
  <c r="C19" i="86"/>
  <c r="B58" i="75"/>
  <c r="B53" i="86" l="1"/>
  <c r="B42" i="86"/>
  <c r="B40" i="86"/>
  <c r="B55" i="86"/>
  <c r="C61" i="86" s="1"/>
  <c r="B61" i="86" s="1" a="1"/>
  <c r="B61" i="86" s="1"/>
  <c r="C20" i="86"/>
  <c r="O20" i="86" s="1"/>
  <c r="AC30" i="84"/>
  <c r="S47" i="84"/>
  <c r="J41" i="84"/>
  <c r="B62" i="75" a="1"/>
  <c r="B62" i="75" s="1"/>
  <c r="B59" i="75"/>
  <c r="B7" i="8" s="1"/>
  <c r="AA3" i="84"/>
  <c r="V20" i="86"/>
  <c r="P23" i="86"/>
  <c r="D19" i="86"/>
  <c r="AD30" i="84" s="1"/>
  <c r="R41" i="84"/>
  <c r="K41" i="84" l="1"/>
  <c r="AE41" i="84" s="1"/>
  <c r="T47" i="84"/>
  <c r="B60" i="75" a="1"/>
  <c r="B60" i="75" s="1"/>
  <c r="B8" i="8" s="1"/>
  <c r="X41" i="84"/>
  <c r="AD41" i="84"/>
  <c r="AB3" i="84"/>
  <c r="S41" i="84"/>
  <c r="T41" i="84"/>
  <c r="I23" i="84"/>
  <c r="X29" i="84" s="1"/>
  <c r="Q23" i="86"/>
  <c r="W20" i="86"/>
  <c r="J23" i="84"/>
  <c r="Y29" i="84" s="1"/>
  <c r="B61" i="75" a="1"/>
  <c r="B61" i="75" s="1"/>
  <c r="U47" i="84" l="1"/>
  <c r="N41" i="84"/>
  <c r="AF41" i="84" s="1"/>
  <c r="Y41" i="84"/>
  <c r="F19" i="86"/>
  <c r="E19" i="86"/>
  <c r="Z41" i="84"/>
  <c r="K23" i="84"/>
  <c r="F20" i="86" l="1"/>
  <c r="AF30" i="84"/>
  <c r="E20" i="86"/>
  <c r="AE30" i="84"/>
  <c r="G19" i="86"/>
  <c r="Z29" i="84"/>
  <c r="U41" i="84"/>
  <c r="B23" i="84"/>
  <c r="B29" i="84" s="1"/>
  <c r="O41" i="84"/>
  <c r="AG41" i="84" s="1"/>
  <c r="R23" i="86"/>
  <c r="X20" i="86"/>
  <c r="S23" i="86"/>
  <c r="Y20" i="86"/>
  <c r="Z20" i="86"/>
  <c r="T23" i="86"/>
  <c r="G20" i="86" l="1"/>
  <c r="S20" i="86" s="1"/>
  <c r="AG30" i="84"/>
  <c r="E50" i="84"/>
  <c r="B25" i="84"/>
  <c r="AA41" i="84"/>
  <c r="B41" i="84" s="1"/>
  <c r="B24" i="84"/>
  <c r="B34" i="84" l="1"/>
  <c r="B30" i="84" s="1"/>
  <c r="B23" i="86" s="1"/>
  <c r="B56" i="84"/>
  <c r="B27" i="86"/>
  <c r="B28" i="86" s="1"/>
  <c r="B30" i="86" s="1"/>
  <c r="B31" i="86" s="1"/>
  <c r="B26" i="84"/>
  <c r="B4" i="84"/>
  <c r="AG20" i="86" s="1"/>
  <c r="AH20" i="86"/>
  <c r="AE20" i="86" s="1"/>
  <c r="B32" i="84" l="1"/>
  <c r="G55" i="84"/>
  <c r="B55" i="84" s="1"/>
  <c r="B26" i="86"/>
  <c r="B57" i="86"/>
  <c r="B44" i="84"/>
  <c r="B5" i="84"/>
  <c r="B43" i="84"/>
  <c r="B27" i="84"/>
  <c r="AD20" i="86"/>
  <c r="AC20" i="86"/>
  <c r="AF20" i="86"/>
  <c r="H25" i="84"/>
  <c r="H34" i="84" s="1"/>
  <c r="D20" i="86"/>
  <c r="P20" i="86" s="1"/>
  <c r="J25" i="84"/>
  <c r="J34" i="84" s="1"/>
  <c r="K48" i="84"/>
  <c r="S48" i="84" s="1"/>
  <c r="Y48" i="84" s="1"/>
  <c r="I25" i="84"/>
  <c r="I34" i="84" s="1"/>
  <c r="N48" i="84"/>
  <c r="T48" i="84" s="1"/>
  <c r="Z48" i="84" s="1"/>
  <c r="G25" i="84"/>
  <c r="G34" i="84" s="1"/>
  <c r="K25" i="84"/>
  <c r="K34" i="84" s="1"/>
  <c r="C21" i="86"/>
  <c r="G21" i="86"/>
  <c r="J48" i="84"/>
  <c r="K26" i="84"/>
  <c r="I26" i="84"/>
  <c r="J26" i="84"/>
  <c r="N26" i="84"/>
  <c r="O48" i="84"/>
  <c r="U48" i="84" s="1"/>
  <c r="E21" i="86"/>
  <c r="F21" i="86"/>
  <c r="R20" i="86"/>
  <c r="B48" i="84" l="1"/>
  <c r="H58" i="84" s="1"/>
  <c r="B58" i="84" s="1"/>
  <c r="B52" i="84"/>
  <c r="E54" i="84" s="1"/>
  <c r="B59" i="84"/>
  <c r="B12" i="8" s="1"/>
  <c r="D50" i="84"/>
  <c r="B50" i="84" s="1"/>
  <c r="F22" i="86"/>
  <c r="K25" i="86" s="1"/>
  <c r="B47" i="84"/>
  <c r="B61" i="84" s="1" a="1"/>
  <c r="B61" i="84" s="1"/>
  <c r="B33" i="84"/>
  <c r="R48" i="84"/>
  <c r="X48" i="84" s="1"/>
  <c r="AA48" i="84"/>
  <c r="B45" i="86" s="1"/>
  <c r="I51" i="84"/>
  <c r="H51" i="84"/>
  <c r="D21" i="86"/>
  <c r="Q20" i="86"/>
  <c r="J51" i="84"/>
  <c r="D22" i="86"/>
  <c r="I25" i="86" s="1"/>
  <c r="G54" i="84" l="1"/>
  <c r="H54" i="84"/>
  <c r="G51" i="84"/>
  <c r="B51" i="84" s="1"/>
  <c r="F54" i="84"/>
  <c r="B54" i="84" s="1"/>
  <c r="I54" i="84"/>
  <c r="E22" i="86"/>
  <c r="J25" i="86" s="1"/>
  <c r="C22" i="86"/>
  <c r="B38" i="86" s="1"/>
  <c r="G22" i="86"/>
  <c r="L25" i="86" l="1"/>
  <c r="M48" i="86"/>
  <c r="B52" i="86"/>
  <c r="B56" i="86" s="1"/>
  <c r="B47" i="86"/>
  <c r="B41" i="86"/>
  <c r="H25" i="86"/>
  <c r="B17" i="86"/>
  <c r="I63" i="84"/>
  <c r="B63" i="84" s="1" a="1"/>
  <c r="B63" i="84" s="1"/>
  <c r="B25" i="86" l="1"/>
  <c r="B33" i="86" s="1"/>
  <c r="B37" i="86" s="1"/>
  <c r="I48" i="86"/>
  <c r="B48" i="86" s="1"/>
  <c r="B51" i="86"/>
  <c r="B50" i="86" s="1"/>
  <c r="C62" i="86"/>
  <c r="B62" i="86" s="1" a="1"/>
  <c r="B62" i="86" s="1"/>
  <c r="C64" i="86" l="1"/>
  <c r="B64" i="86" s="1" a="1"/>
  <c r="B64" i="86" s="1"/>
  <c r="K32" i="86"/>
  <c r="B34" i="86"/>
  <c r="B18" i="8" s="1"/>
  <c r="O32" i="86"/>
  <c r="B32" i="86" s="1"/>
  <c r="B15" i="8"/>
  <c r="C63" i="86"/>
  <c r="B63" i="86" s="1" a="1"/>
  <c r="B63" i="86" s="1"/>
  <c r="B14" i="8" l="1"/>
  <c r="B16" i="8" s="1"/>
  <c r="B17" i="8" s="1"/>
  <c r="C60" i="86" l="1"/>
  <c r="B60" i="86" s="1" a="1"/>
  <c r="B60" i="8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<sst xmlns="http://schemas.openxmlformats.org/spreadsheetml/2006/main" count="710" uniqueCount="580">
  <si>
    <t>Fundamental Analysis | 3-Statement + Valuation</t>
  </si>
  <si>
    <t>Stock Ticket Symbol</t>
  </si>
  <si>
    <t>Currency</t>
  </si>
  <si>
    <t>symbol</t>
  </si>
  <si>
    <t>weightedAverageShsOut</t>
  </si>
  <si>
    <t>weightedAverageShsOutDil</t>
  </si>
  <si>
    <t>cashAndShortTermInvestments</t>
  </si>
  <si>
    <t>accountsReceivables</t>
  </si>
  <si>
    <t>accountPayables</t>
  </si>
  <si>
    <t>totalEquity</t>
  </si>
  <si>
    <t>totalInvestments</t>
  </si>
  <si>
    <t>totalDebt</t>
  </si>
  <si>
    <t>netDebt</t>
  </si>
  <si>
    <t>operatingCashFlow</t>
  </si>
  <si>
    <t>Metric</t>
  </si>
  <si>
    <t>Value</t>
  </si>
  <si>
    <t>name</t>
  </si>
  <si>
    <t>price</t>
  </si>
  <si>
    <t>marketCap</t>
  </si>
  <si>
    <t>priceAvg50</t>
  </si>
  <si>
    <t>priceAvg200</t>
  </si>
  <si>
    <t>exchange</t>
  </si>
  <si>
    <t>NASDAQ</t>
  </si>
  <si>
    <t>timestamp</t>
  </si>
  <si>
    <t>INCOME STATEMENT</t>
  </si>
  <si>
    <t>BALANCE SHEET</t>
  </si>
  <si>
    <t>CASH FLOW STATEMENT</t>
  </si>
  <si>
    <t>COMPANY DASHBOARD</t>
  </si>
  <si>
    <t>revenue</t>
  </si>
  <si>
    <t>costOfRevenue</t>
  </si>
  <si>
    <t>grossProfit</t>
  </si>
  <si>
    <t>researchAndDevelopmentExpenses</t>
  </si>
  <si>
    <t>sellingGeneralAndAdministrativeExpenses</t>
  </si>
  <si>
    <t>operatingExpenses</t>
  </si>
  <si>
    <t>interestExpense</t>
  </si>
  <si>
    <t>depreciationAndAmortization</t>
  </si>
  <si>
    <t>ebit</t>
  </si>
  <si>
    <t>operatingIncome</t>
  </si>
  <si>
    <t>incomeBeforeTax</t>
  </si>
  <si>
    <t>incomeTaxExpense</t>
  </si>
  <si>
    <t>netIncome</t>
  </si>
  <si>
    <t>eps</t>
  </si>
  <si>
    <t>epsDiluted</t>
  </si>
  <si>
    <t>cashAndCashEquivalents</t>
  </si>
  <si>
    <t>shortTermInvestments</t>
  </si>
  <si>
    <t>netReceivables</t>
  </si>
  <si>
    <t>inventory</t>
  </si>
  <si>
    <t>totalCurrentAssets</t>
  </si>
  <si>
    <t>propertyPlantEquipmentNet</t>
  </si>
  <si>
    <t>totalAssets</t>
  </si>
  <si>
    <t>totalCurrentLiabilities</t>
  </si>
  <si>
    <t>longTermDebt</t>
  </si>
  <si>
    <t>totalLiabilities</t>
  </si>
  <si>
    <t>retainedEarnings</t>
  </si>
  <si>
    <t>totalStockholdersEquity</t>
  </si>
  <si>
    <t>changeInWorkingCapital</t>
  </si>
  <si>
    <t>accountsPayables</t>
  </si>
  <si>
    <t>netCashProvidedByOperatingActivities</t>
  </si>
  <si>
    <t>capitalExpenditure</t>
  </si>
  <si>
    <t>freeCashFlow</t>
  </si>
  <si>
    <t>Status</t>
  </si>
  <si>
    <t xml:space="preserve">Exchange </t>
  </si>
  <si>
    <t>Final Score</t>
  </si>
  <si>
    <t>Recommendation</t>
  </si>
  <si>
    <t>Revenue CAGR</t>
  </si>
  <si>
    <t>ROE</t>
  </si>
  <si>
    <t>Debt/Equity</t>
  </si>
  <si>
    <t>FCF Yield</t>
  </si>
  <si>
    <t>EQUITY ANALYSIS ENGINE</t>
  </si>
  <si>
    <t>Growth</t>
  </si>
  <si>
    <t>Revenue CAGR (5 Y)</t>
  </si>
  <si>
    <t>EPS CAGR (5Y)</t>
  </si>
  <si>
    <t>Revenue Growth Score</t>
  </si>
  <si>
    <t>EPS Growth Score</t>
  </si>
  <si>
    <t>Profitability</t>
  </si>
  <si>
    <t>Avg Net Margin (5Y)</t>
  </si>
  <si>
    <t>ROE (Latest)</t>
  </si>
  <si>
    <t>Net Margin Score</t>
  </si>
  <si>
    <t>ROE Score</t>
  </si>
  <si>
    <t>Profitability Score</t>
  </si>
  <si>
    <t>Cash Flow Quality</t>
  </si>
  <si>
    <t>Positive FCF Years (5 Y)</t>
  </si>
  <si>
    <t>CFO/ Net Income (Latest)</t>
  </si>
  <si>
    <t>FCF Consistency Score</t>
  </si>
  <si>
    <t>Earnings Quality Score</t>
  </si>
  <si>
    <t>Cash Flow Score</t>
  </si>
  <si>
    <t>Financial Strength</t>
  </si>
  <si>
    <t>Interest Coverage</t>
  </si>
  <si>
    <t>Leverage Score</t>
  </si>
  <si>
    <t>Coverage Score</t>
  </si>
  <si>
    <t>Financial Strength Score</t>
  </si>
  <si>
    <t>P/E Ratio</t>
  </si>
  <si>
    <t>FCF Yield Score</t>
  </si>
  <si>
    <t>P/E Score</t>
  </si>
  <si>
    <t>Valuation Score</t>
  </si>
  <si>
    <t>Final Scoring</t>
  </si>
  <si>
    <t>Line Item</t>
  </si>
  <si>
    <t>((Latest Revenue/ Oldest Revenue)^(1/4))-1</t>
  </si>
  <si>
    <t>EPS = (Net Income- Preferred Dividends)/ Weighted Avg. Shares Outstanding</t>
  </si>
  <si>
    <t>Scoring Mechanism</t>
  </si>
  <si>
    <t>with 1st Revenue CAGR</t>
  </si>
  <si>
    <t>with EPS CAGR</t>
  </si>
  <si>
    <t>AVG(Net Income Range/ Income Revenue Range)</t>
  </si>
  <si>
    <t>P&amp;L and Bal Sheet</t>
  </si>
  <si>
    <t xml:space="preserve">P&amp;L </t>
  </si>
  <si>
    <t>Latest Net Income/ Latest Total Equity</t>
  </si>
  <si>
    <t>CF, P&amp;L</t>
  </si>
  <si>
    <t>Latest CF_O/Latest Net Income</t>
  </si>
  <si>
    <t>CF</t>
  </si>
  <si>
    <t>Count FCF&gt;0</t>
  </si>
  <si>
    <t>Bal.Sheet</t>
  </si>
  <si>
    <t>P&amp;L</t>
  </si>
  <si>
    <t>EBIT/Interest Expense</t>
  </si>
  <si>
    <t>Short Term Debt+ Long Term Debt/ Total Equity</t>
  </si>
  <si>
    <t>Quote, P&amp;L</t>
  </si>
  <si>
    <t>Price/Latest_EPS</t>
  </si>
  <si>
    <t>((Latest) EPS / IOldest) EPS^(1/4))-1</t>
  </si>
  <si>
    <t>CF, Quote</t>
  </si>
  <si>
    <t>Latest FCF/ Market Cap</t>
  </si>
  <si>
    <t>Growth Rate Score</t>
  </si>
  <si>
    <t>ROIC</t>
  </si>
  <si>
    <t>Valuation Sanity Check</t>
  </si>
  <si>
    <t>HISTORICAL METRICS</t>
  </si>
  <si>
    <t>Revenue Growth Volatility (Std Dev)</t>
  </si>
  <si>
    <t>Operating Income CAGR</t>
  </si>
  <si>
    <t>Gross Margin</t>
  </si>
  <si>
    <t>FCF Margin (FCF/ Revenue)</t>
  </si>
  <si>
    <t>FCF/ Net Income</t>
  </si>
  <si>
    <t>Debt CAGR (5 Yr)</t>
  </si>
  <si>
    <t>Debt Growth vs. Revenue Growth</t>
  </si>
  <si>
    <t>Capital Allocation</t>
  </si>
  <si>
    <t>Share Count CAGR (5 Yr)</t>
  </si>
  <si>
    <t>Retention Ratio (1- Payout Ratio)</t>
  </si>
  <si>
    <t>ROIC x Retention (Reinvestment Quality)</t>
  </si>
  <si>
    <t>Business Efficiency</t>
  </si>
  <si>
    <t>Asset Turnover</t>
  </si>
  <si>
    <t>Capex/ Revenue</t>
  </si>
  <si>
    <t>(Revenue t - Revenue t-1/) Revenue t-1</t>
  </si>
  <si>
    <t>(Operating Income End/ Operating Income Start)^(1-n) - 1</t>
  </si>
  <si>
    <t>(Revenue - COGS)/ Revenue * 100</t>
  </si>
  <si>
    <t>Ri</t>
  </si>
  <si>
    <t>[(Ending Debt/ Beginning Debt)^(1/n)] - 1</t>
  </si>
  <si>
    <t>[(Ending Revenue/ Beginning Revenue)^(1/n)] - 1</t>
  </si>
  <si>
    <t>[(Ending Weighted Average Shsout/ Beginning Weighted Average Shsout)^(1/n)] - 1</t>
  </si>
  <si>
    <t>(Net Income - Dividends)/ Net Income</t>
  </si>
  <si>
    <t>P&amp;L, Bal. Sheet</t>
  </si>
  <si>
    <r>
      <rPr>
        <sz val="11"/>
        <color theme="8" tint="-0.249977111117893"/>
        <rFont val="Calibri"/>
        <family val="2"/>
      </rPr>
      <t xml:space="preserve">NOPAT </t>
    </r>
    <r>
      <rPr>
        <sz val="11"/>
        <color theme="1"/>
        <rFont val="Calibri"/>
        <family val="2"/>
      </rPr>
      <t xml:space="preserve">= EBIT x (1- </t>
    </r>
    <r>
      <rPr>
        <sz val="11"/>
        <color rgb="FF787800"/>
        <rFont val="Calibri"/>
        <family val="2"/>
      </rPr>
      <t>Tax Rate)</t>
    </r>
  </si>
  <si>
    <r>
      <rPr>
        <sz val="11"/>
        <color theme="3" tint="0.249977111117893"/>
        <rFont val="Calibri"/>
        <family val="2"/>
      </rPr>
      <t>Invested Capital</t>
    </r>
    <r>
      <rPr>
        <sz val="11"/>
        <color theme="1"/>
        <rFont val="Calibri"/>
        <family val="2"/>
      </rPr>
      <t xml:space="preserve"> = Total Debt + Total Equity - Cash &amp; Cash Equivalents</t>
    </r>
  </si>
  <si>
    <t>Net Sales (or Revenue)/ Avg Total Assets</t>
  </si>
  <si>
    <t>Capital Expenditure (Capex)/ Net Revenue (Sales)</t>
  </si>
  <si>
    <t>Free Cash Flow (FCF)/ Revenue</t>
  </si>
  <si>
    <t>FCF = Operating Cash Flow - Capex</t>
  </si>
  <si>
    <t>Free Cash Flow (FCF)/ Net Income</t>
  </si>
  <si>
    <t>Capital Allocation Score</t>
  </si>
  <si>
    <t>Efficiency Score</t>
  </si>
  <si>
    <t>Score</t>
  </si>
  <si>
    <t>Historical Score</t>
  </si>
  <si>
    <t xml:space="preserve">Guardrail Recommendation </t>
  </si>
  <si>
    <t>Decision Context</t>
  </si>
  <si>
    <t>FORWARD ESTIMATES</t>
  </si>
  <si>
    <t>Assumptions</t>
  </si>
  <si>
    <t xml:space="preserve">Revenue Forecast </t>
  </si>
  <si>
    <t>Margin Forecast</t>
  </si>
  <si>
    <t>Capital Efficiency Forecast</t>
  </si>
  <si>
    <t>Cash Flow Projection</t>
  </si>
  <si>
    <t>Forward Derived Metrics</t>
  </si>
  <si>
    <t>Forward Guardrail Layer</t>
  </si>
  <si>
    <t>Base Revenue Growth (Yr 1- Yr 5)</t>
  </si>
  <si>
    <t>Tax Rate</t>
  </si>
  <si>
    <t>Working Capital Engine</t>
  </si>
  <si>
    <t>Operating Cash Flow</t>
  </si>
  <si>
    <t>Growth Section</t>
  </si>
  <si>
    <t>Forward Revenue CAGR (5Y)</t>
  </si>
  <si>
    <t>Forward EPS CAGR</t>
  </si>
  <si>
    <t>FCF Margin Avg</t>
  </si>
  <si>
    <t>Forward PE</t>
  </si>
  <si>
    <t>Forward FCF Yield</t>
  </si>
  <si>
    <t>1- Growth Reality Check</t>
  </si>
  <si>
    <t>2- Margin Over- Expansion</t>
  </si>
  <si>
    <t>3- Valuation Stretch</t>
  </si>
  <si>
    <t>Market Input Section</t>
  </si>
  <si>
    <t>Current Price</t>
  </si>
  <si>
    <t>Market Cap</t>
  </si>
  <si>
    <t>Shares Outstanding</t>
  </si>
  <si>
    <t>Net Debt</t>
  </si>
  <si>
    <t>Risk-Free Rate</t>
  </si>
  <si>
    <t>Equity Risk Premium</t>
  </si>
  <si>
    <t>Core Per Share Conversion</t>
  </si>
  <si>
    <t>Forward EPS</t>
  </si>
  <si>
    <t>Forward FCF/Share</t>
  </si>
  <si>
    <t>Forward Revenue (Yr 1- Yr 5)</t>
  </si>
  <si>
    <t>Forward EBIT</t>
  </si>
  <si>
    <t>Forward Net Income</t>
  </si>
  <si>
    <t>Forward FCF</t>
  </si>
  <si>
    <t>Forward ROIC</t>
  </si>
  <si>
    <t>2- Terminal Value</t>
  </si>
  <si>
    <t>3- Instrinsic Equity Value</t>
  </si>
  <si>
    <t>Multiple-Based Valuation Section</t>
  </si>
  <si>
    <t>Forward EV/EBIT</t>
  </si>
  <si>
    <t>Historical Anchors</t>
  </si>
  <si>
    <t>PE Deviation %</t>
  </si>
  <si>
    <t>Fair Price (PE Method)</t>
  </si>
  <si>
    <t>Implied Market Expectations</t>
  </si>
  <si>
    <t>Implied Growth</t>
  </si>
  <si>
    <t>Forward Model Growth vs Market Implied Growth</t>
  </si>
  <si>
    <t>Expected Return</t>
  </si>
  <si>
    <t>1- Growth Contribution</t>
  </si>
  <si>
    <t>2- Cash Yield Contribution</t>
  </si>
  <si>
    <t>3- Valuation Reversion Contribution</t>
  </si>
  <si>
    <t>Valuation Guardrails</t>
  </si>
  <si>
    <t>2- FCF Reality Check</t>
  </si>
  <si>
    <t>3- ROIC Justification</t>
  </si>
  <si>
    <t>Final Valuation Score Output</t>
  </si>
  <si>
    <t>Valuation Metrics</t>
  </si>
  <si>
    <t>Intrinsic Value Discount/Premium</t>
  </si>
  <si>
    <t>Forward PE Score</t>
  </si>
  <si>
    <t>Expected Return Score</t>
  </si>
  <si>
    <t>Implied Growth Gap Score</t>
  </si>
  <si>
    <t>Base Growth = 0.5 * Revenue CAGR + 0.3 * Operating Income CAGR + 0.2 * Industry Growth Assumption</t>
  </si>
  <si>
    <t>Applying Decay --&gt; Growth_t = BaseGrowth * (1- Terminal Gap * (t-1)/4)</t>
  </si>
  <si>
    <t>Sector / Industry</t>
  </si>
  <si>
    <t>Typical ROIC Range</t>
  </si>
  <si>
    <t>Structural Median ROIC</t>
  </si>
  <si>
    <t>Capital Intensity</t>
  </si>
  <si>
    <t>Software / IT Services</t>
  </si>
  <si>
    <t>25% – 50%</t>
  </si>
  <si>
    <t>30%+</t>
  </si>
  <si>
    <t>Very Low</t>
  </si>
  <si>
    <t>FMCG / Consumer Staples</t>
  </si>
  <si>
    <t>35% – 60%</t>
  </si>
  <si>
    <t>Low</t>
  </si>
  <si>
    <t>Retail / Consumer Discretionary</t>
  </si>
  <si>
    <t>12% – 22%</t>
  </si>
  <si>
    <t>Medium</t>
  </si>
  <si>
    <t>Pharma / Healthcare</t>
  </si>
  <si>
    <t>12% – 25%</t>
  </si>
  <si>
    <t>Industrials / Engineering</t>
  </si>
  <si>
    <t>10% – 18%</t>
  </si>
  <si>
    <t>Auto &amp; Auto Components</t>
  </si>
  <si>
    <t>10% – 22%</t>
  </si>
  <si>
    <t>Medium-High</t>
  </si>
  <si>
    <t>Cement / Metals / Heavy Manufacturing</t>
  </si>
  <si>
    <t>8% – 15%</t>
  </si>
  <si>
    <t>High</t>
  </si>
  <si>
    <t>Telecom</t>
  </si>
  <si>
    <t>8% – 14%</t>
  </si>
  <si>
    <t>Very High</t>
  </si>
  <si>
    <t>Energy / Oil &amp; Gas</t>
  </si>
  <si>
    <t>6% – 12%</t>
  </si>
  <si>
    <t>Transportation / Airlines</t>
  </si>
  <si>
    <t>6% – 10%</t>
  </si>
  <si>
    <t>Utilities / Power</t>
  </si>
  <si>
    <t>4% – 8%</t>
  </si>
  <si>
    <t>Extreme</t>
  </si>
  <si>
    <t>Advertising / Media Platforms</t>
  </si>
  <si>
    <t>25% – 40%</t>
  </si>
  <si>
    <t>Working Capital Assumptions</t>
  </si>
  <si>
    <t>Receivable</t>
  </si>
  <si>
    <t xml:space="preserve">Inventory </t>
  </si>
  <si>
    <t xml:space="preserve">Payable </t>
  </si>
  <si>
    <t>Revenue * AR Days/ 365</t>
  </si>
  <si>
    <t>COGS * Inv Days/ 365</t>
  </si>
  <si>
    <t>COGS * Payable Days/ 365</t>
  </si>
  <si>
    <t>AR Days = (Accounts Receivable/ Revenue) * 365</t>
  </si>
  <si>
    <t>Inventory Days = (Inventory/ COGS) * 365</t>
  </si>
  <si>
    <t>Payable Days = (Accounts Payable/ COGS) * 365</t>
  </si>
  <si>
    <t>Bal Sheet, P&amp;L</t>
  </si>
  <si>
    <t>Decay Rate</t>
  </si>
  <si>
    <t>EBIT</t>
  </si>
  <si>
    <t>Net Income</t>
  </si>
  <si>
    <t>Gross Profit</t>
  </si>
  <si>
    <t>Inputs</t>
  </si>
  <si>
    <t>Historical Avg EBIT Margin</t>
  </si>
  <si>
    <t>Historical Peak EBIT Margin</t>
  </si>
  <si>
    <t>Historical Avg Gross Margin</t>
  </si>
  <si>
    <t>Historical Peak Gross Margin</t>
  </si>
  <si>
    <t>Calculated Forward Margins</t>
  </si>
  <si>
    <t>Forward EBIT Margin (with Guardrail)</t>
  </si>
  <si>
    <t>Forward Gross Margin (with Guardrail)</t>
  </si>
  <si>
    <t>Derived Income</t>
  </si>
  <si>
    <t>Forward Revenue</t>
  </si>
  <si>
    <t>Net Margin (Derived)</t>
  </si>
  <si>
    <t xml:space="preserve">Historical Avg Gross </t>
  </si>
  <si>
    <t>EBIT/ Revenue</t>
  </si>
  <si>
    <t>Income Tax Expense/ Pre-Tax Income</t>
  </si>
  <si>
    <t>Last Revenue * (1 + Forward Growth)</t>
  </si>
  <si>
    <t>Forward Revenue * Forward Gross Margin</t>
  </si>
  <si>
    <t>Forward Revenue * Forward EBIT Margin</t>
  </si>
  <si>
    <t>EBIT * (1- Forward Tax Rate)</t>
  </si>
  <si>
    <t>Net Income/ Forward Revenue</t>
  </si>
  <si>
    <t>Invested Capital</t>
  </si>
  <si>
    <t>NOPAT</t>
  </si>
  <si>
    <t>NOPAT/ Invested Capital</t>
  </si>
  <si>
    <t>EBIT*(1-Tax Rate)</t>
  </si>
  <si>
    <t>Forward Revenue/ Forward Asset Turnover</t>
  </si>
  <si>
    <t xml:space="preserve">Investment Forecast </t>
  </si>
  <si>
    <t>Revenue * Capex Intensity %</t>
  </si>
  <si>
    <t xml:space="preserve">Capex </t>
  </si>
  <si>
    <t xml:space="preserve">Depreciation </t>
  </si>
  <si>
    <t>WC = Receivables + Inventory - Payables</t>
  </si>
  <si>
    <t>Capex Intensity = Avg (Historical Capex/ Revenue)</t>
  </si>
  <si>
    <t>Depreciation Rate = Depreciation/ Last Year's PPE</t>
  </si>
  <si>
    <t>Receivable Days Forward</t>
  </si>
  <si>
    <t>Days Inventory Outstanding Forward</t>
  </si>
  <si>
    <t>Days Payable Oustanding Forward</t>
  </si>
  <si>
    <t>Fwd_Receivables</t>
  </si>
  <si>
    <t>Fwd_Inventory</t>
  </si>
  <si>
    <t>Fwd_Payable</t>
  </si>
  <si>
    <t>OCF = Net Income + Depreciation - Del WC</t>
  </si>
  <si>
    <t>Quality Section</t>
  </si>
  <si>
    <t>Forward ROIC Avg</t>
  </si>
  <si>
    <t>Forward Net Margin Avg</t>
  </si>
  <si>
    <t>Stability Score</t>
  </si>
  <si>
    <t>Positive FCF Years</t>
  </si>
  <si>
    <t>Debt Trend</t>
  </si>
  <si>
    <t>Forward Valuation Sanity</t>
  </si>
  <si>
    <t>FCF_Yn/Revenue_Yn</t>
  </si>
  <si>
    <t>Revenue_Yn* Forward FCF_Margin</t>
  </si>
  <si>
    <r>
      <rPr>
        <sz val="11"/>
        <color theme="5" tint="-0.249977111117893"/>
        <rFont val="Aptos Narrow"/>
        <family val="2"/>
        <scheme val="minor"/>
      </rPr>
      <t>Fwd_Interest Rate</t>
    </r>
    <r>
      <rPr>
        <sz val="11"/>
        <color theme="1"/>
        <rFont val="Aptos Narrow"/>
        <family val="2"/>
        <scheme val="minor"/>
      </rPr>
      <t xml:space="preserve"> = Last Interest Expense/ Last Total Debt</t>
    </r>
  </si>
  <si>
    <t>EBIT/ Interest Expense</t>
  </si>
  <si>
    <r>
      <rPr>
        <sz val="11"/>
        <color rgb="FF7030A0"/>
        <rFont val="Aptos Narrow"/>
        <family val="2"/>
        <scheme val="minor"/>
      </rPr>
      <t>Forward Interest Expense</t>
    </r>
    <r>
      <rPr>
        <sz val="11"/>
        <color theme="1"/>
        <rFont val="Aptos Narrow"/>
        <family val="2"/>
        <scheme val="minor"/>
      </rPr>
      <t xml:space="preserve"> = Total Debt * Historical Interest rate</t>
    </r>
  </si>
  <si>
    <t>Price/ Fwd EPS</t>
  </si>
  <si>
    <t>FCF/ MarketCap</t>
  </si>
  <si>
    <t>FCF</t>
  </si>
  <si>
    <t>Fwd EPS = Last Actual EPS x (1 + Fwd EPS CAGR)</t>
  </si>
  <si>
    <t>If Fwd EBIT Margin &gt; Historical Peak * 1.25 -&gt; Flag</t>
  </si>
  <si>
    <t>If FwdRevCAGR &gt; Historical RevCAGR*1.8 -&gt; Flag</t>
  </si>
  <si>
    <t>If Fwd PE &gt; Historical Median PE * 1.5 -&gt; Flag</t>
  </si>
  <si>
    <t>Fair_PE_Proxy = Fwd EPS Growth * 1.5 + (ROIC/10)</t>
  </si>
  <si>
    <r>
      <rPr>
        <sz val="11"/>
        <color theme="5" tint="-0.249977111117893"/>
        <rFont val="Aptos Narrow"/>
        <family val="2"/>
        <scheme val="minor"/>
      </rPr>
      <t>Growth Year n</t>
    </r>
    <r>
      <rPr>
        <sz val="11"/>
        <color theme="1"/>
        <rFont val="Aptos Narrow"/>
        <family val="2"/>
        <scheme val="minor"/>
      </rPr>
      <t xml:space="preserve"> = Base Growth x (1- Decay) ^ (n-1)</t>
    </r>
  </si>
  <si>
    <r>
      <rPr>
        <sz val="11"/>
        <color theme="8" tint="-0.249977111117893"/>
        <rFont val="Aptos Narrow"/>
        <family val="2"/>
        <scheme val="minor"/>
      </rPr>
      <t>Fwd Year Revenue n</t>
    </r>
    <r>
      <rPr>
        <sz val="11"/>
        <color theme="1"/>
        <rFont val="Aptos Narrow"/>
        <family val="2"/>
        <scheme val="minor"/>
      </rPr>
      <t xml:space="preserve"> = Fwd Year Revenue n-1 x (1 + Growth Yr n-1)</t>
    </r>
  </si>
  <si>
    <r>
      <rPr>
        <sz val="11"/>
        <color theme="8" tint="-0.249977111117893"/>
        <rFont val="Aptos Narrow"/>
        <family val="2"/>
        <scheme val="minor"/>
      </rPr>
      <t xml:space="preserve">EBIT </t>
    </r>
    <r>
      <rPr>
        <sz val="11"/>
        <color theme="1"/>
        <rFont val="Aptos Narrow"/>
        <family val="2"/>
        <scheme val="minor"/>
      </rPr>
      <t>= Fwd_Revenue * Fwd EBIT Margin</t>
    </r>
  </si>
  <si>
    <r>
      <rPr>
        <sz val="11"/>
        <color theme="5" tint="-0.249977111117893"/>
        <rFont val="Aptos Narrow"/>
        <family val="2"/>
        <scheme val="minor"/>
      </rPr>
      <t>Net Income</t>
    </r>
    <r>
      <rPr>
        <sz val="11"/>
        <color theme="1"/>
        <rFont val="Aptos Narrow"/>
        <family val="2"/>
        <scheme val="minor"/>
      </rPr>
      <t xml:space="preserve"> = EBIT * (1- Tax Rate)</t>
    </r>
  </si>
  <si>
    <r>
      <rPr>
        <sz val="11"/>
        <color rgb="FFED0000"/>
        <rFont val="Aptos Narrow"/>
        <family val="2"/>
        <scheme val="minor"/>
      </rPr>
      <t>EPS</t>
    </r>
    <r>
      <rPr>
        <sz val="11"/>
        <color theme="1"/>
        <rFont val="Aptos Narrow"/>
        <family val="2"/>
        <scheme val="minor"/>
      </rPr>
      <t xml:space="preserve"> = Net Income/ LatestShares</t>
    </r>
  </si>
  <si>
    <t xml:space="preserve">Forward ROIC </t>
  </si>
  <si>
    <t>Net Income/Revenue</t>
  </si>
  <si>
    <t>Terminal = Industry Avg</t>
  </si>
  <si>
    <t>Growth = Terminal + (Base - Terminal) x (1- Decay) ^(t-1)</t>
  </si>
  <si>
    <r>
      <rPr>
        <sz val="11"/>
        <color theme="5" tint="-0.249977111117893"/>
        <rFont val="Aptos Narrow"/>
        <family val="2"/>
        <scheme val="minor"/>
      </rPr>
      <t>Growth Premium</t>
    </r>
    <r>
      <rPr>
        <sz val="11"/>
        <color theme="1"/>
        <rFont val="Aptos Narrow"/>
        <family val="2"/>
        <scheme val="minor"/>
      </rPr>
      <t xml:space="preserve"> = Base Growth - Terminal Growth</t>
    </r>
  </si>
  <si>
    <t>Reinvestment</t>
  </si>
  <si>
    <t>Capex - Depreciation + Del Working Capital</t>
  </si>
  <si>
    <t>Fwd COGS</t>
  </si>
  <si>
    <t>Del WC = WC_t - WC_(t-1)</t>
  </si>
  <si>
    <t>[(Net Income Y5/ Shares Y5)/ (Net Income Hist/ Shares Hist)]</t>
  </si>
  <si>
    <t>Reinvestment Rate</t>
  </si>
  <si>
    <t>Reinvestment/ NOPAT</t>
  </si>
  <si>
    <t>(Latest Debt/ Debt 5 Years Ago )^(1/5) -1</t>
  </si>
  <si>
    <t xml:space="preserve">Fwd Debt </t>
  </si>
  <si>
    <t>ROIC x Reinvestment Rate</t>
  </si>
  <si>
    <t>Asset Turnover = Revenue/ Invested Capital</t>
  </si>
  <si>
    <r>
      <rPr>
        <sz val="11"/>
        <color theme="9" tint="-0.499984740745262"/>
        <rFont val="Aptos Narrow"/>
        <family val="2"/>
        <scheme val="minor"/>
      </rPr>
      <t xml:space="preserve">Invested Capital </t>
    </r>
    <r>
      <rPr>
        <sz val="11"/>
        <color theme="1"/>
        <rFont val="Aptos Narrow"/>
        <family val="2"/>
        <scheme val="minor"/>
      </rPr>
      <t>= Debt + Equity - Cash</t>
    </r>
  </si>
  <si>
    <r>
      <rPr>
        <sz val="11"/>
        <color theme="5" tint="-0.249977111117893"/>
        <rFont val="Aptos Narrow"/>
        <family val="2"/>
        <scheme val="minor"/>
      </rPr>
      <t>Historical Asset Turnover</t>
    </r>
    <r>
      <rPr>
        <sz val="11"/>
        <color theme="1"/>
        <rFont val="Aptos Narrow"/>
        <family val="2"/>
        <scheme val="minor"/>
      </rPr>
      <t xml:space="preserve"> = Revenue/ Invested Capital</t>
    </r>
  </si>
  <si>
    <r>
      <rPr>
        <sz val="11"/>
        <color rgb="FFC00000"/>
        <rFont val="Aptos Narrow"/>
        <family val="2"/>
        <scheme val="minor"/>
      </rPr>
      <t xml:space="preserve">Forward Asset Turnover </t>
    </r>
    <r>
      <rPr>
        <sz val="11"/>
        <color theme="1"/>
        <rFont val="Aptos Narrow"/>
        <family val="2"/>
        <scheme val="minor"/>
      </rPr>
      <t>= 0.5 x AT Latest + 0.3 x Avg last 3 + 0.2 x Avg Last 5</t>
    </r>
  </si>
  <si>
    <t>Growth Driver Check</t>
  </si>
  <si>
    <t>Revenue Growth</t>
  </si>
  <si>
    <t>NOPAT - Reinvestment</t>
  </si>
  <si>
    <t>Market Value of Equity = Market Cap</t>
  </si>
  <si>
    <t>Market Value of Debt = Total Debt (Lastest Bal Sheet)</t>
  </si>
  <si>
    <r>
      <rPr>
        <sz val="11"/>
        <color rgb="FF0070C0"/>
        <rFont val="Aptos Narrow"/>
        <family val="2"/>
        <scheme val="minor"/>
      </rPr>
      <t xml:space="preserve">Total Cost of Capital </t>
    </r>
    <r>
      <rPr>
        <sz val="11"/>
        <color theme="1"/>
        <rFont val="Aptos Narrow"/>
        <family val="2"/>
        <scheme val="minor"/>
      </rPr>
      <t>= Market Value of Equity + Market Value of Debt</t>
    </r>
  </si>
  <si>
    <t>Beta</t>
  </si>
  <si>
    <r>
      <rPr>
        <sz val="11"/>
        <color rgb="FF388600"/>
        <rFont val="Aptos Narrow"/>
        <family val="2"/>
        <scheme val="minor"/>
      </rPr>
      <t xml:space="preserve">Cost of Debt </t>
    </r>
    <r>
      <rPr>
        <sz val="11"/>
        <color theme="1"/>
        <rFont val="Aptos Narrow"/>
        <family val="2"/>
        <scheme val="minor"/>
      </rPr>
      <t>= Interest Expense/ Total Debt</t>
    </r>
  </si>
  <si>
    <r>
      <rPr>
        <sz val="11"/>
        <color rgb="FFC00000"/>
        <rFont val="Aptos Narrow"/>
        <family val="2"/>
        <scheme val="minor"/>
      </rPr>
      <t>Cost of Equity</t>
    </r>
    <r>
      <rPr>
        <sz val="11"/>
        <color theme="1"/>
        <rFont val="Aptos Narrow"/>
        <family val="2"/>
        <scheme val="minor"/>
      </rPr>
      <t xml:space="preserve"> = Risk Free Rate +( Beta * Equity Risk Premium)</t>
    </r>
  </si>
  <si>
    <r>
      <rPr>
        <sz val="11"/>
        <color rgb="FF787800"/>
        <rFont val="Aptos Narrow"/>
        <family val="2"/>
        <scheme val="minor"/>
      </rPr>
      <t>[(Market Value of Equity/ Total Cost of Capital)</t>
    </r>
    <r>
      <rPr>
        <sz val="11"/>
        <color rgb="FF212121"/>
        <rFont val="Aptos Narrow"/>
        <family val="2"/>
        <scheme val="minor"/>
      </rPr>
      <t xml:space="preserve">x Cost of Equity] </t>
    </r>
    <r>
      <rPr>
        <sz val="11"/>
        <color theme="1"/>
        <rFont val="Aptos Narrow"/>
        <family val="2"/>
        <scheme val="minor"/>
      </rPr>
      <t>+</t>
    </r>
    <r>
      <rPr>
        <sz val="11"/>
        <color rgb="FF3F0065"/>
        <rFont val="Aptos Narrow"/>
        <family val="2"/>
        <scheme val="minor"/>
      </rPr>
      <t xml:space="preserve"> [(Market Value of Debt/ Total Cost of Capital)</t>
    </r>
    <r>
      <rPr>
        <sz val="11"/>
        <color rgb="FF212121"/>
        <rFont val="Aptos Narrow"/>
        <family val="2"/>
        <scheme val="minor"/>
      </rPr>
      <t xml:space="preserve"> x Cost of Debt x (1-TaxRate)]</t>
    </r>
  </si>
  <si>
    <t>Free Cash Flow/ Shares Oustanding</t>
  </si>
  <si>
    <t>Equity Value/ Shares Outstanding</t>
  </si>
  <si>
    <t>g= Terminal growth value</t>
  </si>
  <si>
    <t>1- Forecast Cash Flow (Present value of FCF)</t>
  </si>
  <si>
    <t>Terminal Growth value: 2-3% for Developed Markets, 2.5% Global Avg Assumptioon, 3-4% for Emerging markets</t>
  </si>
  <si>
    <t>NOPAT/ Reinvestment</t>
  </si>
  <si>
    <t>EBIT(1-T) + D&amp;A - Capex - del WC</t>
  </si>
  <si>
    <t>Sum( PV of FCF_t = FCF_t/ (1+ WACC) ^t)</t>
  </si>
  <si>
    <t>CAPEX</t>
  </si>
  <si>
    <t>REINVESTMENT</t>
  </si>
  <si>
    <r>
      <rPr>
        <sz val="11"/>
        <color rgb="FF388600"/>
        <rFont val="Aptos Narrow"/>
        <family val="2"/>
        <scheme val="minor"/>
      </rPr>
      <t xml:space="preserve">Equity Value </t>
    </r>
    <r>
      <rPr>
        <sz val="11"/>
        <color theme="1"/>
        <rFont val="Aptos Narrow"/>
        <family val="2"/>
        <scheme val="minor"/>
      </rPr>
      <t>= Enterprise Value - Net Debt</t>
    </r>
  </si>
  <si>
    <t>Forward Per-Share Engine (Year 1- Year 5)</t>
  </si>
  <si>
    <t>Year 1</t>
  </si>
  <si>
    <t>Year 2</t>
  </si>
  <si>
    <t>Year 3</t>
  </si>
  <si>
    <t>Year 4</t>
  </si>
  <si>
    <t>Year 5</t>
  </si>
  <si>
    <t>0.5x Last Year EBIT Margin + 0.3x Avg (Last 3 years Margin) + 0.2 x (Avg last 5 Years Margin)</t>
  </si>
  <si>
    <t xml:space="preserve"> Revenue/ EBIT</t>
  </si>
  <si>
    <t>Industry</t>
  </si>
  <si>
    <t>Typical Growth Range</t>
  </si>
  <si>
    <t>Notes</t>
  </si>
  <si>
    <t>Technology / Software</t>
  </si>
  <si>
    <t>8–12%</t>
  </si>
  <si>
    <t>High innovation, scalable</t>
  </si>
  <si>
    <t>Cloud / AI</t>
  </si>
  <si>
    <t>12–20%</t>
  </si>
  <si>
    <t>Still early growth stage</t>
  </si>
  <si>
    <t>E-commerce</t>
  </si>
  <si>
    <t>8–14%</t>
  </si>
  <si>
    <t>Depends on market maturity</t>
  </si>
  <si>
    <t>Consumer Staples</t>
  </si>
  <si>
    <t>3–5%</t>
  </si>
  <si>
    <t>Very stable, low growth</t>
  </si>
  <si>
    <t>Consumer Discretionary</t>
  </si>
  <si>
    <t>5–8%</t>
  </si>
  <si>
    <t>Cyclical</t>
  </si>
  <si>
    <t>Healthcare / Pharma</t>
  </si>
  <si>
    <t>6–10%</t>
  </si>
  <si>
    <t>Aging population tailwind</t>
  </si>
  <si>
    <t>Biotechnology</t>
  </si>
  <si>
    <t>8–15%</t>
  </si>
  <si>
    <t>Innovation driven</t>
  </si>
  <si>
    <t>Financial Services</t>
  </si>
  <si>
    <t>4–7%</t>
  </si>
  <si>
    <t>GDP-linked</t>
  </si>
  <si>
    <t>Insurance</t>
  </si>
  <si>
    <t>3–6%</t>
  </si>
  <si>
    <t>Mature industry</t>
  </si>
  <si>
    <t>Industrials</t>
  </si>
  <si>
    <t>Infrastructure driven</t>
  </si>
  <si>
    <t>Energy (Oil &amp; Gas)</t>
  </si>
  <si>
    <t>2–5%</t>
  </si>
  <si>
    <t>Mature / cyclical</t>
  </si>
  <si>
    <t>Utilities</t>
  </si>
  <si>
    <t>2–4%</t>
  </si>
  <si>
    <t>Regulated</t>
  </si>
  <si>
    <t>Telecommunications</t>
  </si>
  <si>
    <t>Saturated markets</t>
  </si>
  <si>
    <t>Real Estate / REITs</t>
  </si>
  <si>
    <t>Linked to property cycles</t>
  </si>
  <si>
    <t>Transportation &amp; Logistics</t>
  </si>
  <si>
    <t>4–8%</t>
  </si>
  <si>
    <t>Trade dependent</t>
  </si>
  <si>
    <t>Automotive</t>
  </si>
  <si>
    <t>Mature manufacturing</t>
  </si>
  <si>
    <t>Luxury Goods</t>
  </si>
  <si>
    <t>Emerging market demand</t>
  </si>
  <si>
    <t>PV of Terminal Value</t>
  </si>
  <si>
    <t>Terminal Reinvestment Rate</t>
  </si>
  <si>
    <t>g/ROIC</t>
  </si>
  <si>
    <t>Terminal FCF</t>
  </si>
  <si>
    <t>Terminal Reinvestment</t>
  </si>
  <si>
    <t>NOPATx (g/ROIC)</t>
  </si>
  <si>
    <t>NOPAT - Terminal Reinvestment</t>
  </si>
  <si>
    <t>Terminal FCF/(WACC-g)</t>
  </si>
  <si>
    <t>TV/(1+WACC)^5</t>
  </si>
  <si>
    <t>Risk Free rate: 3-4%</t>
  </si>
  <si>
    <t>CapEx % of Revenue</t>
  </si>
  <si>
    <t>Reason</t>
  </si>
  <si>
    <t>Software / SaaS</t>
  </si>
  <si>
    <t>1 – 3%</t>
  </si>
  <si>
    <t>Asset-light, mainly servers &amp; offices</t>
  </si>
  <si>
    <t>Internet Platforms / Big Tech</t>
  </si>
  <si>
    <t>6 – 12%</t>
  </si>
  <si>
    <t>Data centers, infrastructure</t>
  </si>
  <si>
    <t>Semiconductors</t>
  </si>
  <si>
    <t>12 – 25%</t>
  </si>
  <si>
    <t>Fabrication plants extremely expensive</t>
  </si>
  <si>
    <t>Consumer Electronics</t>
  </si>
  <si>
    <t>5 – 10%</t>
  </si>
  <si>
    <t>Manufacturing equipment</t>
  </si>
  <si>
    <t>Retail</t>
  </si>
  <si>
    <t>3 – 6%</t>
  </si>
  <si>
    <t>Stores, logistics, warehouses</t>
  </si>
  <si>
    <t>Warehouses &amp; logistics networks</t>
  </si>
  <si>
    <t>Assembly plants &amp; tooling</t>
  </si>
  <si>
    <t>Manufacturing (general)</t>
  </si>
  <si>
    <t>Machinery replacement</t>
  </si>
  <si>
    <t>Airlines</t>
  </si>
  <si>
    <t>12 – 18%</t>
  </si>
  <si>
    <t>Aircraft purchases</t>
  </si>
  <si>
    <t>15 – 25%</t>
  </si>
  <si>
    <t>Network infrastructure</t>
  </si>
  <si>
    <t>Oil &amp; Gas (Upstream)</t>
  </si>
  <si>
    <t>20 – 40%</t>
  </si>
  <si>
    <t>Exploration &amp; drilling</t>
  </si>
  <si>
    <t>Oil &amp; Gas (Integrated)</t>
  </si>
  <si>
    <t>10 – 20%</t>
  </si>
  <si>
    <t>Refineries &amp; pipelines</t>
  </si>
  <si>
    <t>20 – 35%</t>
  </si>
  <si>
    <t>Power plants &amp; grid</t>
  </si>
  <si>
    <t>Mining</t>
  </si>
  <si>
    <t>25 – 40%</t>
  </si>
  <si>
    <t>Extraction infrastructure</t>
  </si>
  <si>
    <t>Railroads</t>
  </si>
  <si>
    <t>Tracks &amp; locomotives</t>
  </si>
  <si>
    <t>3 – 7%</t>
  </si>
  <si>
    <t>Labs &amp; manufacturing plants</t>
  </si>
  <si>
    <t>Food &amp; Beverage</t>
  </si>
  <si>
    <t>Processing plants</t>
  </si>
  <si>
    <t>Chemicals</t>
  </si>
  <si>
    <t>8 – 15%</t>
  </si>
  <si>
    <t>Production facilities</t>
  </si>
  <si>
    <t>Current Share Price/ Forward EPS (Year 1)</t>
  </si>
  <si>
    <t>EV/EBIT = EV/Forward EBIT (Year 1)</t>
  </si>
  <si>
    <t>Forward FCF/ Market Cap</t>
  </si>
  <si>
    <t>Forward PE - Historical Median PE/ Historical Median PE</t>
  </si>
  <si>
    <t>FCF Yield vs Historical Median</t>
  </si>
  <si>
    <t>Cost of Equity - FCF Yield</t>
  </si>
  <si>
    <t>Growth Gap = Model Growth - Implied Growth</t>
  </si>
  <si>
    <t>Forecast EPS CAGR (5 Yr)</t>
  </si>
  <si>
    <t>PEG Ratio = Forward PE/ EPS Growth</t>
  </si>
  <si>
    <t>Model Growth- Implied Growth</t>
  </si>
  <si>
    <r>
      <rPr>
        <sz val="11"/>
        <color theme="9" tint="-0.249977111117893"/>
        <rFont val="Aptos Narrow"/>
        <family val="2"/>
        <scheme val="minor"/>
      </rPr>
      <t>EV</t>
    </r>
    <r>
      <rPr>
        <sz val="11"/>
        <color theme="1"/>
        <rFont val="Aptos Narrow"/>
        <family val="2"/>
        <scheme val="minor"/>
      </rPr>
      <t xml:space="preserve"> = Market Cap + Total Debt - Cash</t>
    </r>
  </si>
  <si>
    <t>PE= Share Price/EPS</t>
  </si>
  <si>
    <r>
      <rPr>
        <sz val="11"/>
        <color rgb="FFC00000"/>
        <rFont val="Aptos Narrow"/>
        <family val="2"/>
        <scheme val="minor"/>
      </rPr>
      <t>Historical Median PE</t>
    </r>
    <r>
      <rPr>
        <sz val="11"/>
        <color theme="1"/>
        <rFont val="Aptos Narrow"/>
        <family val="2"/>
        <scheme val="minor"/>
      </rPr>
      <t xml:space="preserve"> = MEDIAN(PE Year 1: Year5)</t>
    </r>
  </si>
  <si>
    <t>PE Relative Ratio</t>
  </si>
  <si>
    <t>Forward PE/ Historical Median PE</t>
  </si>
  <si>
    <t>FCF Yield = FCF/ Market Cap</t>
  </si>
  <si>
    <r>
      <t xml:space="preserve">FCF Yield Deviation % = (Forward FCF Yield - Historical Median FCF Yield/ </t>
    </r>
    <r>
      <rPr>
        <sz val="11"/>
        <color rgb="FF388600"/>
        <rFont val="Aptos Narrow"/>
        <family val="2"/>
        <scheme val="minor"/>
      </rPr>
      <t>Historical Median FCF Yield</t>
    </r>
    <r>
      <rPr>
        <sz val="11"/>
        <color theme="1"/>
        <rFont val="Aptos Narrow"/>
        <family val="2"/>
        <scheme val="minor"/>
      </rPr>
      <t>)</t>
    </r>
  </si>
  <si>
    <t>Risk Free rate + Beta (Stock Volatility vs the Market) + Equity Risk Premium</t>
  </si>
  <si>
    <t>EPS_Yr 1 Fwd</t>
  </si>
  <si>
    <t>Pex EPS_Year5/ (1+ Required Rate of Return) ^5</t>
  </si>
  <si>
    <t>Model Forward Growth = CAGR of FCF (or Revenue)</t>
  </si>
  <si>
    <r>
      <rPr>
        <sz val="11"/>
        <color rgb="FF388600"/>
        <rFont val="Aptos Narrow"/>
        <family val="2"/>
        <scheme val="minor"/>
      </rPr>
      <t xml:space="preserve">Model Growth </t>
    </r>
    <r>
      <rPr>
        <sz val="11"/>
        <color theme="1"/>
        <rFont val="Aptos Narrow"/>
        <family val="2"/>
        <scheme val="minor"/>
      </rPr>
      <t>=</t>
    </r>
    <r>
      <rPr>
        <sz val="11"/>
        <color theme="5" tint="-0.249977111117893"/>
        <rFont val="Aptos Narrow"/>
        <family val="2"/>
        <scheme val="minor"/>
      </rPr>
      <t xml:space="preserve"> (FCF Year5/ FCF Year 1)^(1/4)</t>
    </r>
    <r>
      <rPr>
        <sz val="11"/>
        <color theme="1"/>
        <rFont val="Aptos Narrow"/>
        <family val="2"/>
        <scheme val="minor"/>
      </rPr>
      <t xml:space="preserve"> -1</t>
    </r>
  </si>
  <si>
    <t>(Fair PE/ Current PE)^(1/5)-1</t>
  </si>
  <si>
    <t>Current Fwd PE = Current Price/ Next Year EPS</t>
  </si>
  <si>
    <t>Fair PE = Historical Median PE</t>
  </si>
  <si>
    <t>1- Growth vs Valuation (PEG Ratio)</t>
  </si>
  <si>
    <t>Cost of Debt</t>
  </si>
  <si>
    <t>Forward Net Income/ Shares Oustanding</t>
  </si>
  <si>
    <t>EV= Enterprise Value</t>
  </si>
  <si>
    <t>Required Rate of Return /Cost of Equity</t>
  </si>
  <si>
    <t>Terminal Growth Value (g)</t>
  </si>
  <si>
    <t>Terminal Weight</t>
  </si>
  <si>
    <t>PV Terminal Value/ Total Enterprise Value</t>
  </si>
  <si>
    <t>Base WACC  (DCF Discount Rate)</t>
  </si>
  <si>
    <t>WACC Adjustment</t>
  </si>
  <si>
    <t>WACC Final</t>
  </si>
  <si>
    <t>PEG</t>
  </si>
  <si>
    <t>Meaning</t>
  </si>
  <si>
    <t>&lt;1</t>
  </si>
  <si>
    <t>Undervalued</t>
  </si>
  <si>
    <t>Fair</t>
  </si>
  <si>
    <t>Expensive</t>
  </si>
  <si>
    <t>&gt;3</t>
  </si>
  <si>
    <t>Overvalued</t>
  </si>
  <si>
    <t>1 to 2</t>
  </si>
  <si>
    <t>2 to 3</t>
  </si>
  <si>
    <t>FCF Coverage = Fwd FCF Yield/ Required Return</t>
  </si>
  <si>
    <t>&gt;1</t>
  </si>
  <si>
    <t>Fully justified</t>
  </si>
  <si>
    <t>0.5-1</t>
  </si>
  <si>
    <t>moderate</t>
  </si>
  <si>
    <t>&lt;0.5</t>
  </si>
  <si>
    <t>weak</t>
  </si>
  <si>
    <t>FCF Coverage</t>
  </si>
  <si>
    <t>ROIC Spread = Fwd ROIC - WACC</t>
  </si>
  <si>
    <t>&gt;10%</t>
  </si>
  <si>
    <t>excellent</t>
  </si>
  <si>
    <t>5-10%</t>
  </si>
  <si>
    <t>good</t>
  </si>
  <si>
    <t>0-5%</t>
  </si>
  <si>
    <t>&lt;0</t>
  </si>
  <si>
    <t>destroying value</t>
  </si>
  <si>
    <t>ROIC Spread</t>
  </si>
  <si>
    <t>Discount = (Intrinsic Value- Current Price)/ Current Price</t>
  </si>
  <si>
    <t>PEG Ratio</t>
  </si>
  <si>
    <t>FCF Yield Spread = Fwd FCF Yield - Required Return</t>
  </si>
  <si>
    <t>Expected Return = Growth Contribution + Cash Yield Contribution + Valuation Contribution</t>
  </si>
  <si>
    <t>Equity Risk Premium: 4-6%</t>
  </si>
  <si>
    <t>VALUATION &amp; RETURN</t>
  </si>
  <si>
    <t>USD</t>
  </si>
  <si>
    <t>Intrinsic Value</t>
  </si>
  <si>
    <r>
      <rPr>
        <sz val="11"/>
        <color theme="1" tint="4.9989318521683403E-2"/>
        <rFont val="Aptos Narrow"/>
        <family val="2"/>
        <scheme val="minor"/>
      </rPr>
      <t xml:space="preserve">Enterprise Value </t>
    </r>
    <r>
      <rPr>
        <sz val="11"/>
        <color theme="1"/>
        <rFont val="Aptos Narrow"/>
        <family val="2"/>
        <scheme val="minor"/>
      </rPr>
      <t>= PV of Forecast Cash Flows + PV of Terminal value</t>
    </r>
  </si>
  <si>
    <t>Relative Valuation (PE Reversion Method)</t>
  </si>
  <si>
    <t>DCF Valuation (Absolute Value)</t>
  </si>
  <si>
    <t>5-Year Expected Return Decomposition</t>
  </si>
  <si>
    <t>5Y Annualized Return</t>
  </si>
  <si>
    <t>DCF Margin of Safety</t>
  </si>
  <si>
    <t>Valuation Regime</t>
  </si>
  <si>
    <t>Ready!</t>
  </si>
  <si>
    <r>
      <t>ROIC</t>
    </r>
    <r>
      <rPr>
        <sz val="11"/>
        <color rgb="FFC00000"/>
        <rFont val="Calibri"/>
        <family val="2"/>
      </rPr>
      <t xml:space="preserve"> </t>
    </r>
    <r>
      <rPr>
        <sz val="11"/>
        <color theme="1"/>
        <rFont val="Calibri"/>
        <family val="2"/>
      </rPr>
      <t>= NOPAT/ Invested Capital</t>
    </r>
  </si>
  <si>
    <t>(Operating Income / Revenue) *100</t>
  </si>
  <si>
    <t>EBIT Margin</t>
  </si>
  <si>
    <t>Interest Expense/ Total Debt x(1-Tax Rate)</t>
  </si>
  <si>
    <t>NOPAT/Invested Capital</t>
  </si>
  <si>
    <r>
      <rPr>
        <sz val="11"/>
        <color theme="6" tint="-0.249977111117893"/>
        <rFont val="Aptos Narrow"/>
        <family val="2"/>
        <scheme val="minor"/>
      </rPr>
      <t xml:space="preserve">Invested Capital </t>
    </r>
    <r>
      <rPr>
        <sz val="11"/>
        <color theme="1"/>
        <rFont val="Aptos Narrow"/>
        <family val="2"/>
        <scheme val="minor"/>
      </rPr>
      <t>= Fwd Revenue/Asset Turnover</t>
    </r>
  </si>
  <si>
    <t>Enterprise Value (EV)</t>
  </si>
  <si>
    <t>Beta: 1.1-1.3</t>
  </si>
  <si>
    <r>
      <rPr>
        <sz val="11"/>
        <color rgb="FF0070C0"/>
        <rFont val="Aptos Narrow"/>
        <family val="2"/>
        <scheme val="minor"/>
      </rPr>
      <t>Shares1​</t>
    </r>
    <r>
      <rPr>
        <sz val="11"/>
        <color theme="1"/>
        <rFont val="Aptos Narrow"/>
        <family val="2"/>
        <scheme val="minor"/>
      </rPr>
      <t>=Shares0​×(1+g)</t>
    </r>
  </si>
  <si>
    <r>
      <rPr>
        <sz val="11"/>
        <color rgb="FFC00000"/>
        <rFont val="Aptos Narrow"/>
        <family val="2"/>
        <scheme val="minor"/>
      </rPr>
      <t>Shares CAGR</t>
    </r>
    <r>
      <rPr>
        <sz val="11"/>
        <color theme="1"/>
        <rFont val="Aptos Narrow"/>
        <family val="2"/>
        <scheme val="minor"/>
      </rPr>
      <t xml:space="preserve">  =(Shares_0 / Shares_-5)^(1/5) - 1</t>
    </r>
  </si>
  <si>
    <t>MSFT</t>
  </si>
  <si>
    <t>shortTermDebt</t>
  </si>
  <si>
    <t>dividendsPaid</t>
  </si>
  <si>
    <t>Microsoft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</si>
</sst>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\(#,##0\)"/>
    <numFmt numFmtId="165" formatCode="dd\-mmm\-yyyy\ hh:mm:ss"/>
    <numFmt numFmtId="166" formatCode="0.000"/>
    <numFmt numFmtId="167" formatCode="0.0%"/>
    <numFmt numFmtId="168" formatCode="#,##0.000;\(#,##0.000\)"/>
  </numFmts>
  <fonts count="3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Calibri"/>
      <family val="2"/>
    </font>
    <font>
      <b/>
      <sz val="16"/>
      <color theme="1"/>
      <name val="Calibri"/>
      <family val="2"/>
    </font>
    <font>
      <sz val="11"/>
      <color theme="3" tint="0.249977111117893"/>
      <name val="Calibri"/>
      <family val="2"/>
    </font>
    <font>
      <sz val="11"/>
      <color rgb="FF787800"/>
      <name val="Calibri"/>
      <family val="2"/>
    </font>
    <font>
      <sz val="11"/>
      <color rgb="FF787800"/>
      <name val="Aptos Narrow"/>
      <family val="2"/>
      <scheme val="minor"/>
    </font>
    <font>
      <sz val="11"/>
      <color theme="8" tint="-0.249977111117893"/>
      <name val="Calibri"/>
      <family val="2"/>
    </font>
    <font>
      <sz val="11"/>
      <color theme="8" tint="-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Calibri"/>
      <family val="2"/>
    </font>
    <font>
      <sz val="11"/>
      <color rgb="FFC0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388600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ED0000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3F0065"/>
      <name val="Aptos Narrow"/>
      <family val="2"/>
      <scheme val="minor"/>
    </font>
    <font>
      <sz val="11"/>
      <color rgb="FF21212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9" tint="-0.249977111117893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sz val="11"/>
      <color theme="6" tint="-0.249977111117893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3DB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96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164" fontId="3" fillId="0" borderId="0" xfId="0" applyNumberFormat="1" applyFont="1"/>
    <xf numFmtId="0" fontId="5" fillId="0" borderId="0" xfId="0" applyFont="1"/>
    <xf numFmtId="0" fontId="1" fillId="0" borderId="0" xfId="0" applyFont="1"/>
    <xf numFmtId="164" fontId="0" fillId="0" borderId="0" xfId="0" applyNumberFormat="1"/>
    <xf numFmtId="0" fontId="6" fillId="0" borderId="0" xfId="0" applyFont="1"/>
    <xf numFmtId="0" fontId="4" fillId="0" borderId="0" xfId="0" applyFont="1"/>
    <xf numFmtId="165" fontId="3" fillId="0" borderId="0" xfId="0" applyNumberFormat="1" applyFont="1"/>
    <xf numFmtId="0" fontId="7" fillId="0" borderId="0" xfId="0" applyFont="1"/>
    <xf numFmtId="0" fontId="4" fillId="0" borderId="1" xfId="0" applyFont="1" applyBorder="1"/>
    <xf numFmtId="0" fontId="8" fillId="0" borderId="0" xfId="0" applyFont="1"/>
    <xf numFmtId="166" fontId="3" fillId="0" borderId="0" xfId="0" applyNumberFormat="1" applyFont="1"/>
    <xf numFmtId="2" fontId="3" fillId="0" borderId="0" xfId="0" applyNumberFormat="1" applyFont="1"/>
    <xf numFmtId="0" fontId="3" fillId="2" borderId="0" xfId="0" applyFont="1" applyFill="1"/>
    <xf numFmtId="10" fontId="3" fillId="0" borderId="0" xfId="1" applyNumberFormat="1" applyFont="1" applyFill="1"/>
    <xf numFmtId="0" fontId="3" fillId="3" borderId="0" xfId="0" applyFont="1" applyFill="1"/>
    <xf numFmtId="10" fontId="3" fillId="0" borderId="0" xfId="0" applyNumberFormat="1" applyFont="1"/>
    <xf numFmtId="0" fontId="3" fillId="0" borderId="2" xfId="0" applyFont="1" applyBorder="1"/>
    <xf numFmtId="10" fontId="3" fillId="0" borderId="2" xfId="1" applyNumberFormat="1" applyFont="1" applyFill="1" applyBorder="1"/>
    <xf numFmtId="10" fontId="3" fillId="0" borderId="2" xfId="0" applyNumberFormat="1" applyFont="1" applyBorder="1"/>
    <xf numFmtId="0" fontId="18" fillId="0" borderId="0" xfId="0" applyFont="1"/>
    <xf numFmtId="1" fontId="3" fillId="0" borderId="0" xfId="1" applyNumberFormat="1" applyFont="1" applyBorder="1"/>
    <xf numFmtId="10" fontId="3" fillId="0" borderId="0" xfId="1" applyNumberFormat="1" applyFont="1" applyFill="1" applyBorder="1"/>
    <xf numFmtId="2" fontId="3" fillId="0" borderId="0" xfId="1" applyNumberFormat="1" applyFont="1" applyBorder="1"/>
    <xf numFmtId="10" fontId="3" fillId="0" borderId="0" xfId="1" applyNumberFormat="1" applyFont="1" applyBorder="1"/>
    <xf numFmtId="10" fontId="3" fillId="0" borderId="2" xfId="1" applyNumberFormat="1" applyFont="1" applyBorder="1"/>
    <xf numFmtId="2" fontId="3" fillId="0" borderId="0" xfId="1" applyNumberFormat="1" applyFont="1" applyFill="1"/>
    <xf numFmtId="0" fontId="19" fillId="0" borderId="0" xfId="0" applyFont="1"/>
    <xf numFmtId="0" fontId="3" fillId="0" borderId="0" xfId="0" applyFont="1" applyAlignment="1">
      <alignment horizontal="right"/>
    </xf>
    <xf numFmtId="0" fontId="0" fillId="0" borderId="2" xfId="0" applyBorder="1"/>
    <xf numFmtId="166" fontId="3" fillId="0" borderId="2" xfId="0" applyNumberFormat="1" applyFont="1" applyBorder="1"/>
    <xf numFmtId="0" fontId="11" fillId="0" borderId="2" xfId="0" applyFont="1" applyBorder="1"/>
    <xf numFmtId="0" fontId="13" fillId="0" borderId="2" xfId="0" applyFont="1" applyBorder="1"/>
    <xf numFmtId="0" fontId="14" fillId="0" borderId="2" xfId="0" applyFont="1" applyBorder="1"/>
    <xf numFmtId="0" fontId="16" fillId="0" borderId="2" xfId="0" applyFont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9" fontId="1" fillId="0" borderId="0" xfId="0" applyNumberFormat="1" applyFont="1" applyAlignment="1">
      <alignment horizontal="right" vertical="center" wrapText="1"/>
    </xf>
    <xf numFmtId="0" fontId="20" fillId="0" borderId="0" xfId="0" applyFont="1"/>
    <xf numFmtId="10" fontId="0" fillId="0" borderId="0" xfId="0" applyNumberFormat="1"/>
    <xf numFmtId="2" fontId="0" fillId="0" borderId="0" xfId="0" applyNumberFormat="1"/>
    <xf numFmtId="2" fontId="21" fillId="0" borderId="0" xfId="0" applyNumberFormat="1" applyFont="1"/>
    <xf numFmtId="2" fontId="22" fillId="0" borderId="0" xfId="0" applyNumberFormat="1" applyFont="1"/>
    <xf numFmtId="2" fontId="23" fillId="0" borderId="0" xfId="0" applyNumberFormat="1" applyFont="1"/>
    <xf numFmtId="0" fontId="24" fillId="0" borderId="0" xfId="0" applyFont="1"/>
    <xf numFmtId="0" fontId="13" fillId="0" borderId="0" xfId="0" applyFont="1"/>
    <xf numFmtId="0" fontId="23" fillId="0" borderId="0" xfId="0" applyFont="1"/>
    <xf numFmtId="2" fontId="25" fillId="0" borderId="0" xfId="0" applyNumberFormat="1" applyFont="1"/>
    <xf numFmtId="0" fontId="0" fillId="5" borderId="0" xfId="0" applyFill="1"/>
    <xf numFmtId="10" fontId="23" fillId="0" borderId="0" xfId="0" applyNumberFormat="1" applyFont="1"/>
    <xf numFmtId="2" fontId="3" fillId="0" borderId="0" xfId="1" applyNumberFormat="1" applyFont="1" applyFill="1" applyBorder="1"/>
    <xf numFmtId="2" fontId="1" fillId="0" borderId="0" xfId="0" applyNumberFormat="1" applyFont="1"/>
    <xf numFmtId="0" fontId="26" fillId="0" borderId="0" xfId="0" applyFont="1"/>
    <xf numFmtId="0" fontId="16" fillId="0" borderId="0" xfId="0" applyFont="1"/>
    <xf numFmtId="10" fontId="3" fillId="0" borderId="0" xfId="1" applyNumberFormat="1" applyFont="1"/>
    <xf numFmtId="0" fontId="27" fillId="0" borderId="0" xfId="0" applyFont="1"/>
    <xf numFmtId="167" fontId="16" fillId="0" borderId="0" xfId="0" applyNumberFormat="1" applyFont="1"/>
    <xf numFmtId="0" fontId="21" fillId="0" borderId="0" xfId="0" applyFont="1"/>
    <xf numFmtId="0" fontId="11" fillId="0" borderId="0" xfId="0" applyFont="1"/>
    <xf numFmtId="0" fontId="28" fillId="0" borderId="0" xfId="0" applyFont="1"/>
    <xf numFmtId="0" fontId="0" fillId="4" borderId="0" xfId="0" applyFill="1"/>
    <xf numFmtId="10" fontId="1" fillId="0" borderId="0" xfId="0" applyNumberFormat="1" applyFont="1"/>
    <xf numFmtId="0" fontId="30" fillId="0" borderId="0" xfId="0" applyFont="1"/>
    <xf numFmtId="168" fontId="0" fillId="0" borderId="0" xfId="0" applyNumberFormat="1"/>
    <xf numFmtId="0" fontId="0" fillId="6" borderId="0" xfId="0" applyFill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0" fontId="1" fillId="4" borderId="0" xfId="0" applyFont="1" applyFill="1"/>
    <xf numFmtId="0" fontId="1" fillId="8" borderId="0" xfId="0" applyFont="1" applyFill="1"/>
    <xf numFmtId="0" fontId="0" fillId="8" borderId="0" xfId="0" applyFill="1"/>
    <xf numFmtId="11" fontId="0" fillId="0" borderId="0" xfId="0" applyNumberFormat="1"/>
    <xf numFmtId="11" fontId="16" fillId="0" borderId="0" xfId="0" applyNumberFormat="1" applyFont="1"/>
    <xf numFmtId="11" fontId="23" fillId="0" borderId="0" xfId="0" applyNumberFormat="1" applyFont="1"/>
    <xf numFmtId="11" fontId="21" fillId="0" borderId="0" xfId="0" applyNumberFormat="1" applyFont="1"/>
    <xf numFmtId="0" fontId="3" fillId="9" borderId="0" xfId="0" applyFont="1" applyFill="1"/>
    <xf numFmtId="0" fontId="31" fillId="0" borderId="0" xfId="0" applyFont="1"/>
    <xf numFmtId="10" fontId="21" fillId="0" borderId="0" xfId="0" applyNumberFormat="1" applyFont="1"/>
    <xf numFmtId="2" fontId="16" fillId="0" borderId="0" xfId="0" applyNumberFormat="1" applyFont="1"/>
    <xf numFmtId="16" fontId="0" fillId="0" borderId="0" xfId="0" applyNumberFormat="1" applyAlignment="1">
      <alignment vertical="center" wrapText="1"/>
    </xf>
    <xf numFmtId="10" fontId="3" fillId="0" borderId="0" xfId="1" applyNumberFormat="1" applyFont="1" applyFill="1" applyAlignment="1">
      <alignment horizontal="right"/>
    </xf>
    <xf numFmtId="2" fontId="3" fillId="0" borderId="0" xfId="0" applyNumberFormat="1" applyFont="1" applyAlignment="1">
      <alignment horizontal="right"/>
    </xf>
    <xf numFmtId="10" fontId="4" fillId="0" borderId="0" xfId="0" applyNumberFormat="1" applyFont="1"/>
    <xf numFmtId="164" fontId="4" fillId="0" borderId="0" xfId="0" applyNumberFormat="1" applyFont="1"/>
    <xf numFmtId="11" fontId="32" fillId="0" borderId="0" xfId="0" applyNumberFormat="1" applyFont="1"/>
    <xf numFmtId="10" fontId="3" fillId="0" borderId="0" xfId="0" applyNumberFormat="1" applyFont="1" applyAlignment="1">
      <alignment horizontal="right"/>
    </xf>
    <xf numFmtId="2" fontId="3" fillId="0" borderId="2" xfId="1" applyNumberFormat="1" applyFont="1" applyFill="1" applyBorder="1"/>
    <xf numFmtId="2" fontId="3" fillId="0" borderId="2" xfId="1" applyNumberFormat="1" applyFont="1" applyBorder="1"/>
    <xf numFmtId="2" fontId="33" fillId="0" borderId="0" xfId="0" applyNumberFormat="1" applyFont="1"/>
    <xf numFmtId="0" fontId="33" fillId="0" borderId="0" xfId="0" applyFont="1"/>
    <xf numFmtId="2" fontId="34" fillId="0" borderId="0" xfId="0" applyNumberFormat="1" applyFont="1"/>
    <xf numFmtId="0" fontId="3" fillId="0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0</xdr:rowOff>
        </xdr:from>
        <xdr:to>
          <xdr:col>5</xdr:col>
          <xdr:colOff>563880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7025-CBFC-4526-99C5-3CC703A04027}">
  <sheetPr codeName="Sheet28"/>
  <dimension ref="A1:B22"/>
  <sheetViews>
    <sheetView workbookViewId="0">
      <selection activeCell="E34" sqref="E34"/>
    </sheetView>
  </sheetViews>
  <sheetFormatPr defaultRowHeight="14.4" x14ac:dyDescent="0.3"/>
  <cols>
    <col min="1" max="1" width="34.77734375" bestFit="1" customWidth="1"/>
    <col min="2" max="2" width="19.5546875" bestFit="1" customWidth="1"/>
  </cols>
  <sheetData>
    <row r="1" spans="1:2" ht="23.4" x14ac:dyDescent="0.45">
      <c r="A1" s="7" t="s">
        <v>27</v>
      </c>
    </row>
    <row r="3" spans="1:2" x14ac:dyDescent="0.3">
      <c r="A3" s="2" t="s">
        <v>14</v>
      </c>
      <c r="B3" s="2" t="s">
        <v>15</v>
      </c>
    </row>
    <row r="4" spans="1:2" x14ac:dyDescent="0.3">
      <c r="A4" s="1" t="s">
        <v>3</v>
      </c>
      <c r="B4" s="3" t="s">
        <v>576</v>
      </c>
    </row>
    <row r="5" spans="1:2" x14ac:dyDescent="0.3">
      <c r="A5" s="1" t="s">
        <v>16</v>
      </c>
      <c r="B5" s="3" t="s">
        <v>579</v>
      </c>
    </row>
    <row r="6" spans="1:2" x14ac:dyDescent="0.3">
      <c r="A6" s="1" t="s">
        <v>17</v>
      </c>
      <c r="B6" s="3">
        <v>381.87</v>
      </c>
    </row>
    <row r="7" spans="1:2" x14ac:dyDescent="0.3">
      <c r="A7" s="1" t="s">
        <v>18</v>
      </c>
      <c r="B7" s="3">
        <v>2835625328100</v>
      </c>
    </row>
    <row r="8" spans="1:2" x14ac:dyDescent="0.3">
      <c r="A8" s="1" t="s">
        <v>19</v>
      </c>
      <c r="B8" s="3">
        <v>420.7724</v>
      </c>
    </row>
    <row r="9" spans="1:2" x14ac:dyDescent="0.3">
      <c r="A9" s="1" t="s">
        <v>20</v>
      </c>
      <c r="B9" s="3">
        <v>481.56360000000001</v>
      </c>
    </row>
    <row r="10" spans="1:2" x14ac:dyDescent="0.3">
      <c r="A10" s="1" t="s">
        <v>21</v>
      </c>
      <c r="B10" s="3" t="s">
        <v>22</v>
      </c>
    </row>
    <row r="11" spans="1:2" x14ac:dyDescent="0.3">
      <c r="A11" s="1" t="s">
        <v>23</v>
      </c>
      <c r="B11" s="9">
        <v>46101.833425925928</v>
      </c>
    </row>
    <row r="12" spans="1:2" x14ac:dyDescent="0.3">
      <c r="A12" s="1"/>
      <c r="B12" s="1"/>
    </row>
    <row r="13" spans="1:2" x14ac:dyDescent="0.3">
      <c r="A13" s="1"/>
      <c r="B13" s="1"/>
    </row>
    <row r="14" spans="1:2" x14ac:dyDescent="0.3">
      <c r="A14" s="1"/>
      <c r="B14" s="1"/>
    </row>
    <row r="15" spans="1:2" x14ac:dyDescent="0.3">
      <c r="A15" s="1"/>
      <c r="B15" s="1"/>
    </row>
    <row r="16" spans="1:2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5924-3944-49E4-A23E-EC7285EBAF0F}">
  <sheetPr codeName="Sheet3"/>
  <dimension ref="A1:B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0.88671875" style="1" bestFit="1" customWidth="1"/>
    <col min="2" max="2" width="19.5546875" style="1" bestFit="1" customWidth="1"/>
    <col min="3" max="16384" width="8.88671875" style="1"/>
  </cols>
  <sheetData>
    <row r="1" spans="1:2" s="2" customFormat="1" x14ac:dyDescent="0.3">
      <c r="A1" s="2" t="s">
        <v>14</v>
      </c>
      <c r="B1" s="2" t="s">
        <v>15</v>
      </c>
    </row>
    <row r="2" spans="1:2" x14ac:dyDescent="0.3">
      <c r="A2" s="1" t="s">
        <v>3</v>
      </c>
      <c r="B2" s="3" t="s">
        <v>576</v>
      </c>
    </row>
    <row r="3" spans="1:2" x14ac:dyDescent="0.3">
      <c r="A3" s="1" t="s">
        <v>16</v>
      </c>
      <c r="B3" s="3" t="s">
        <v>579</v>
      </c>
    </row>
    <row r="4" spans="1:2" x14ac:dyDescent="0.3">
      <c r="A4" s="1" t="s">
        <v>17</v>
      </c>
      <c r="B4" s="3">
        <v>381.87</v>
      </c>
    </row>
    <row r="5" spans="1:2" x14ac:dyDescent="0.3">
      <c r="A5" s="1" t="s">
        <v>18</v>
      </c>
      <c r="B5" s="3">
        <v>2835625328100</v>
      </c>
    </row>
    <row r="6" spans="1:2" x14ac:dyDescent="0.3">
      <c r="A6" s="1" t="s">
        <v>19</v>
      </c>
      <c r="B6" s="3">
        <v>420.7724</v>
      </c>
    </row>
    <row r="7" spans="1:2" x14ac:dyDescent="0.3">
      <c r="A7" s="1" t="s">
        <v>20</v>
      </c>
      <c r="B7" s="3">
        <v>481.56360000000001</v>
      </c>
    </row>
    <row r="8" spans="1:2" x14ac:dyDescent="0.3">
      <c r="A8" s="1" t="s">
        <v>21</v>
      </c>
      <c r="B8" s="3" t="s">
        <v>22</v>
      </c>
    </row>
    <row r="9" spans="1:2" x14ac:dyDescent="0.3">
      <c r="A9" s="1" t="s">
        <v>23</v>
      </c>
      <c r="B9" s="9">
        <v>46101.833425925928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AAF1-523B-4490-9366-F0E19ED7F40F}">
  <sheetPr codeName="Sheet4"/>
  <dimension ref="A1:F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32.5546875" style="1" bestFit="1" customWidth="1"/>
    <col min="2" max="3" width="15.33203125" style="1" bestFit="1" customWidth="1"/>
    <col min="4" max="6" width="1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40</v>
      </c>
      <c r="B2" s="3">
        <v>101832000000</v>
      </c>
      <c r="C2" s="3">
        <v>88136000000</v>
      </c>
      <c r="D2" s="3">
        <v>72361000000</v>
      </c>
      <c r="E2" s="3">
        <v>72738000000</v>
      </c>
      <c r="F2" s="3">
        <v>61271000000</v>
      </c>
    </row>
    <row r="3" spans="1:6" x14ac:dyDescent="0.3">
      <c r="A3" s="1" t="s">
        <v>35</v>
      </c>
      <c r="B3" s="3">
        <v>34153000000</v>
      </c>
      <c r="C3" s="3">
        <v>22287000000</v>
      </c>
      <c r="D3" s="3">
        <v>13861000000</v>
      </c>
      <c r="E3" s="3">
        <v>14460000000</v>
      </c>
      <c r="F3" s="3">
        <v>11686000000</v>
      </c>
    </row>
    <row r="4" spans="1:6" x14ac:dyDescent="0.3">
      <c r="A4" s="1" t="s">
        <v>55</v>
      </c>
      <c r="B4" s="3">
        <v>-5350000000</v>
      </c>
      <c r="C4" s="3">
        <v>1824000000</v>
      </c>
      <c r="D4" s="3">
        <v>-2388000000</v>
      </c>
      <c r="E4" s="3">
        <v>446000000</v>
      </c>
      <c r="F4" s="3">
        <v>-936000000</v>
      </c>
    </row>
    <row r="5" spans="1:6" x14ac:dyDescent="0.3">
      <c r="A5" s="1" t="s">
        <v>7</v>
      </c>
      <c r="B5" s="3">
        <v>-10581000000</v>
      </c>
      <c r="C5" s="3">
        <v>-7191000000</v>
      </c>
      <c r="D5" s="3">
        <v>-4087000000</v>
      </c>
      <c r="E5" s="3">
        <v>-6834000000</v>
      </c>
      <c r="F5" s="3">
        <v>-6481000000</v>
      </c>
    </row>
    <row r="6" spans="1:6" x14ac:dyDescent="0.3">
      <c r="A6" s="1" t="s">
        <v>46</v>
      </c>
      <c r="B6" s="3">
        <v>309000000</v>
      </c>
      <c r="C6" s="3">
        <v>1284000000</v>
      </c>
      <c r="D6" s="3">
        <v>1242000000</v>
      </c>
      <c r="E6" s="3">
        <v>-1123000000</v>
      </c>
      <c r="F6" s="3">
        <v>-737000000</v>
      </c>
    </row>
    <row r="7" spans="1:6" x14ac:dyDescent="0.3">
      <c r="A7" s="1" t="s">
        <v>56</v>
      </c>
      <c r="B7" s="3">
        <v>569000000</v>
      </c>
      <c r="C7" s="3">
        <v>3545000000</v>
      </c>
      <c r="D7" s="3">
        <v>-2721000000</v>
      </c>
      <c r="E7" s="3">
        <v>2943000000</v>
      </c>
      <c r="F7" s="3">
        <v>2798000000</v>
      </c>
    </row>
    <row r="8" spans="1:6" x14ac:dyDescent="0.3">
      <c r="A8" s="1" t="s">
        <v>57</v>
      </c>
      <c r="B8" s="3">
        <v>136162000000</v>
      </c>
      <c r="C8" s="3">
        <v>118548000000</v>
      </c>
      <c r="D8" s="3">
        <v>87582000000</v>
      </c>
      <c r="E8" s="3">
        <v>89035000000</v>
      </c>
      <c r="F8" s="3">
        <v>76740000000</v>
      </c>
    </row>
    <row r="9" spans="1:6" x14ac:dyDescent="0.3">
      <c r="A9" s="1" t="s">
        <v>13</v>
      </c>
      <c r="B9" s="3">
        <v>136162000000</v>
      </c>
      <c r="C9" s="3">
        <v>118548000000</v>
      </c>
      <c r="D9" s="3">
        <v>87582000000</v>
      </c>
      <c r="E9" s="3">
        <v>89035000000</v>
      </c>
      <c r="F9" s="3">
        <v>76740000000</v>
      </c>
    </row>
    <row r="10" spans="1:6" x14ac:dyDescent="0.3">
      <c r="A10" s="1" t="s">
        <v>58</v>
      </c>
      <c r="B10" s="3">
        <v>-64551000000</v>
      </c>
      <c r="C10" s="3">
        <v>-44477000000</v>
      </c>
      <c r="D10" s="3">
        <v>-28107000000</v>
      </c>
      <c r="E10" s="3">
        <v>-23886000000</v>
      </c>
      <c r="F10" s="3">
        <v>-20622000000</v>
      </c>
    </row>
    <row r="11" spans="1:6" x14ac:dyDescent="0.3">
      <c r="A11" s="1" t="s">
        <v>59</v>
      </c>
      <c r="B11" s="3">
        <v>71611000000</v>
      </c>
      <c r="C11" s="3">
        <v>74071000000</v>
      </c>
      <c r="D11" s="3">
        <v>59475000000</v>
      </c>
      <c r="E11" s="3">
        <v>65149000000</v>
      </c>
      <c r="F11" s="3">
        <v>56118000000</v>
      </c>
    </row>
    <row r="12" spans="1:6" x14ac:dyDescent="0.3">
      <c r="A12" s="1" t="s">
        <v>578</v>
      </c>
      <c r="B12" s="3">
        <v>-24082000000</v>
      </c>
      <c r="C12" s="3">
        <v>-21771000000</v>
      </c>
      <c r="D12" s="3">
        <v>-19800000000</v>
      </c>
      <c r="E12" s="3">
        <v>-18135000000</v>
      </c>
      <c r="F12" s="3">
        <v>-16521000000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131C-0141-4B38-B1E0-4533E581D8A5}">
  <sheetPr codeName="Sheet29"/>
  <dimension ref="A1:Z200"/>
  <sheetViews>
    <sheetView workbookViewId="0">
      <selection activeCell="F25" sqref="F25"/>
    </sheetView>
  </sheetViews>
  <sheetFormatPr defaultRowHeight="14.4" x14ac:dyDescent="0.3"/>
  <cols>
    <col min="1" max="1" width="32.21875" bestFit="1" customWidth="1"/>
    <col min="2" max="3" width="15.88671875" bestFit="1" customWidth="1"/>
    <col min="4" max="6" width="15.44140625" bestFit="1" customWidth="1"/>
  </cols>
  <sheetData>
    <row r="1" spans="1:26" ht="21" x14ac:dyDescent="0.4">
      <c r="A1" s="4" t="s">
        <v>26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40</v>
      </c>
      <c r="B4" s="6">
        <v>101832000000</v>
      </c>
      <c r="C4" s="6">
        <v>88136000000</v>
      </c>
      <c r="D4" s="6">
        <v>72361000000</v>
      </c>
      <c r="E4" s="6">
        <v>72738000000</v>
      </c>
      <c r="F4" s="6">
        <v>61271000000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35</v>
      </c>
      <c r="B5" s="6">
        <v>34153000000</v>
      </c>
      <c r="C5" s="6">
        <v>22287000000</v>
      </c>
      <c r="D5" s="6">
        <v>13861000000</v>
      </c>
      <c r="E5" s="6">
        <v>14460000000</v>
      </c>
      <c r="F5" s="6">
        <v>11686000000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55</v>
      </c>
      <c r="B6" s="6">
        <v>-5350000000</v>
      </c>
      <c r="C6" s="6">
        <v>1824000000</v>
      </c>
      <c r="D6" s="6">
        <v>-2388000000</v>
      </c>
      <c r="E6" s="6">
        <v>446000000</v>
      </c>
      <c r="F6" s="6">
        <v>-936000000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7</v>
      </c>
      <c r="B7" s="6">
        <v>-10581000000</v>
      </c>
      <c r="C7" s="6">
        <v>-7191000000</v>
      </c>
      <c r="D7" s="6">
        <v>-4087000000</v>
      </c>
      <c r="E7" s="6">
        <v>-6834000000</v>
      </c>
      <c r="F7" s="6">
        <v>-6481000000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46</v>
      </c>
      <c r="B8" s="6">
        <v>309000000</v>
      </c>
      <c r="C8" s="6">
        <v>1284000000</v>
      </c>
      <c r="D8" s="6">
        <v>1242000000</v>
      </c>
      <c r="E8" s="6">
        <v>-1123000000</v>
      </c>
      <c r="F8" s="6">
        <v>-737000000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56</v>
      </c>
      <c r="B9" s="6">
        <v>569000000</v>
      </c>
      <c r="C9" s="6">
        <v>3545000000</v>
      </c>
      <c r="D9" s="6">
        <v>-2721000000</v>
      </c>
      <c r="E9" s="6">
        <v>2943000000</v>
      </c>
      <c r="F9" s="6">
        <v>2798000000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57</v>
      </c>
      <c r="B10" s="6">
        <v>136162000000</v>
      </c>
      <c r="C10" s="6">
        <v>118548000000</v>
      </c>
      <c r="D10" s="6">
        <v>87582000000</v>
      </c>
      <c r="E10" s="6">
        <v>89035000000</v>
      </c>
      <c r="F10" s="6">
        <v>76740000000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13</v>
      </c>
      <c r="B11" s="6">
        <v>136162000000</v>
      </c>
      <c r="C11" s="6">
        <v>118548000000</v>
      </c>
      <c r="D11" s="6">
        <v>87582000000</v>
      </c>
      <c r="E11" s="6">
        <v>89035000000</v>
      </c>
      <c r="F11" s="6">
        <v>76740000000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58</v>
      </c>
      <c r="B12" s="6">
        <v>-64551000000</v>
      </c>
      <c r="C12" s="6">
        <v>-44477000000</v>
      </c>
      <c r="D12" s="6">
        <v>-28107000000</v>
      </c>
      <c r="E12" s="6">
        <v>-23886000000</v>
      </c>
      <c r="F12" s="6">
        <v>-20622000000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59</v>
      </c>
      <c r="B13" s="6">
        <v>71611000000</v>
      </c>
      <c r="C13" s="6">
        <v>74071000000</v>
      </c>
      <c r="D13" s="6">
        <v>59475000000</v>
      </c>
      <c r="E13" s="6">
        <v>65149000000</v>
      </c>
      <c r="F13" s="6">
        <v>56118000000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578</v>
      </c>
      <c r="B14" s="6">
        <v>-24082000000</v>
      </c>
      <c r="C14" s="6">
        <v>-21771000000</v>
      </c>
      <c r="D14" s="6">
        <v>-19800000000</v>
      </c>
      <c r="E14" s="6">
        <v>-18135000000</v>
      </c>
      <c r="F14" s="6">
        <v>-16521000000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2:26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2:26" x14ac:dyDescent="0.3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2:26" x14ac:dyDescent="0.3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2:26" x14ac:dyDescent="0.3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2:26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2:26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2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2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2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2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1185-7E7A-4BDA-AB22-1F2353DE5650}">
  <sheetPr codeName="Sheet5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26.6640625" style="1" bestFit="1" customWidth="1"/>
    <col min="2" max="6" width="15.3320312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43</v>
      </c>
      <c r="B2" s="3">
        <v>30242000000</v>
      </c>
      <c r="C2" s="3">
        <v>18315000000</v>
      </c>
      <c r="D2" s="3">
        <v>34704000000</v>
      </c>
      <c r="E2" s="3">
        <v>13931000000</v>
      </c>
      <c r="F2" s="3">
        <v>14224000000</v>
      </c>
    </row>
    <row r="3" spans="1:6" x14ac:dyDescent="0.3">
      <c r="A3" s="1" t="s">
        <v>44</v>
      </c>
      <c r="B3" s="3">
        <v>64313000000</v>
      </c>
      <c r="C3" s="3">
        <v>57216000000</v>
      </c>
      <c r="D3" s="3">
        <v>76552000000</v>
      </c>
      <c r="E3" s="3">
        <v>90818000000</v>
      </c>
      <c r="F3" s="3">
        <v>116032000000</v>
      </c>
    </row>
    <row r="4" spans="1:6" x14ac:dyDescent="0.3">
      <c r="A4" s="1" t="s">
        <v>6</v>
      </c>
      <c r="B4" s="3">
        <v>94555000000</v>
      </c>
      <c r="C4" s="3">
        <v>75531000000</v>
      </c>
      <c r="D4" s="3">
        <v>111256000000</v>
      </c>
      <c r="E4" s="3">
        <v>104749000000</v>
      </c>
      <c r="F4" s="3">
        <v>130256000000</v>
      </c>
    </row>
    <row r="5" spans="1:6" x14ac:dyDescent="0.3">
      <c r="A5" s="1" t="s">
        <v>45</v>
      </c>
      <c r="B5" s="3">
        <v>69905000000</v>
      </c>
      <c r="C5" s="3">
        <v>56924000000</v>
      </c>
      <c r="D5" s="3">
        <v>48688000000</v>
      </c>
      <c r="E5" s="3">
        <v>44261000000</v>
      </c>
      <c r="F5" s="3">
        <v>38043000000</v>
      </c>
    </row>
    <row r="6" spans="1:6" x14ac:dyDescent="0.3">
      <c r="A6" s="1" t="s">
        <v>7</v>
      </c>
      <c r="B6" s="3">
        <v>69905000000</v>
      </c>
      <c r="C6" s="3">
        <v>56924000000</v>
      </c>
      <c r="D6" s="3">
        <v>48688000000</v>
      </c>
      <c r="E6" s="3">
        <v>44261000000</v>
      </c>
      <c r="F6" s="3">
        <v>38043000000</v>
      </c>
    </row>
    <row r="7" spans="1:6" x14ac:dyDescent="0.3">
      <c r="A7" s="1" t="s">
        <v>46</v>
      </c>
      <c r="B7" s="3">
        <v>938000000</v>
      </c>
      <c r="C7" s="3">
        <v>1246000000</v>
      </c>
      <c r="D7" s="3">
        <v>2500000000</v>
      </c>
      <c r="E7" s="3">
        <v>3742000000</v>
      </c>
      <c r="F7" s="3">
        <v>2636000000</v>
      </c>
    </row>
    <row r="8" spans="1:6" x14ac:dyDescent="0.3">
      <c r="A8" s="1" t="s">
        <v>47</v>
      </c>
      <c r="B8" s="3">
        <v>191131000000</v>
      </c>
      <c r="C8" s="3">
        <v>159734000000</v>
      </c>
      <c r="D8" s="3">
        <v>184257000000</v>
      </c>
      <c r="E8" s="3">
        <v>169684000000</v>
      </c>
      <c r="F8" s="3">
        <v>184406000000</v>
      </c>
    </row>
    <row r="9" spans="1:6" x14ac:dyDescent="0.3">
      <c r="A9" s="1" t="s">
        <v>48</v>
      </c>
      <c r="B9" s="3">
        <v>229789000000</v>
      </c>
      <c r="C9" s="3">
        <v>154552000000</v>
      </c>
      <c r="D9" s="3">
        <v>109987000000</v>
      </c>
      <c r="E9" s="3">
        <v>87546000000</v>
      </c>
      <c r="F9" s="3">
        <v>70803000000</v>
      </c>
    </row>
    <row r="10" spans="1:6" x14ac:dyDescent="0.3">
      <c r="A10" s="1" t="s">
        <v>49</v>
      </c>
      <c r="B10" s="3">
        <v>619003000000</v>
      </c>
      <c r="C10" s="3">
        <v>512163000000</v>
      </c>
      <c r="D10" s="3">
        <v>411976000000</v>
      </c>
      <c r="E10" s="3">
        <v>364840000000</v>
      </c>
      <c r="F10" s="3">
        <v>333779000000</v>
      </c>
    </row>
    <row r="11" spans="1:6" x14ac:dyDescent="0.3">
      <c r="A11" s="1" t="s">
        <v>8</v>
      </c>
      <c r="B11" s="3">
        <v>27724000000</v>
      </c>
      <c r="C11" s="3">
        <v>21996000000</v>
      </c>
      <c r="D11" s="3">
        <v>18095000000</v>
      </c>
      <c r="E11" s="3">
        <v>19000000000</v>
      </c>
      <c r="F11" s="3">
        <v>15163000000</v>
      </c>
    </row>
    <row r="12" spans="1:6" x14ac:dyDescent="0.3">
      <c r="A12" s="1" t="s">
        <v>577</v>
      </c>
      <c r="B12" s="3">
        <v>2999000000</v>
      </c>
      <c r="C12" s="3">
        <v>8942000000</v>
      </c>
      <c r="D12" s="3">
        <v>5247000000</v>
      </c>
      <c r="E12" s="3">
        <v>2749000000</v>
      </c>
      <c r="F12" s="3">
        <v>8072000000</v>
      </c>
    </row>
    <row r="13" spans="1:6" x14ac:dyDescent="0.3">
      <c r="A13" s="1" t="s">
        <v>50</v>
      </c>
      <c r="B13" s="3">
        <v>141218000000</v>
      </c>
      <c r="C13" s="3">
        <v>125286000000</v>
      </c>
      <c r="D13" s="3">
        <v>104149000000</v>
      </c>
      <c r="E13" s="3">
        <v>95082000000</v>
      </c>
      <c r="F13" s="3">
        <v>88657000000</v>
      </c>
    </row>
    <row r="14" spans="1:6" x14ac:dyDescent="0.3">
      <c r="A14" s="1" t="s">
        <v>51</v>
      </c>
      <c r="B14" s="3">
        <v>40152000000</v>
      </c>
      <c r="C14" s="3">
        <v>42688000000</v>
      </c>
      <c r="D14" s="3">
        <v>41990000000</v>
      </c>
      <c r="E14" s="3">
        <v>47032000000</v>
      </c>
      <c r="F14" s="3">
        <v>50074000000</v>
      </c>
    </row>
    <row r="15" spans="1:6" x14ac:dyDescent="0.3">
      <c r="A15" s="1" t="s">
        <v>52</v>
      </c>
      <c r="B15" s="3">
        <v>275524000000</v>
      </c>
      <c r="C15" s="3">
        <v>243686000000</v>
      </c>
      <c r="D15" s="3">
        <v>205753000000</v>
      </c>
      <c r="E15" s="3">
        <v>198298000000</v>
      </c>
      <c r="F15" s="3">
        <v>191791000000</v>
      </c>
    </row>
    <row r="16" spans="1:6" x14ac:dyDescent="0.3">
      <c r="A16" s="1" t="s">
        <v>53</v>
      </c>
      <c r="B16" s="3">
        <v>237731000000</v>
      </c>
      <c r="C16" s="3">
        <v>173144000000</v>
      </c>
      <c r="D16" s="3">
        <v>118848000000</v>
      </c>
      <c r="E16" s="3">
        <v>84281000000</v>
      </c>
      <c r="F16" s="3">
        <v>57055000000</v>
      </c>
    </row>
    <row r="17" spans="1:6" x14ac:dyDescent="0.3">
      <c r="A17" s="1" t="s">
        <v>54</v>
      </c>
      <c r="B17" s="3">
        <v>343479000000</v>
      </c>
      <c r="C17" s="3">
        <v>268477000000</v>
      </c>
      <c r="D17" s="3">
        <v>206223000000</v>
      </c>
      <c r="E17" s="3">
        <v>166542000000</v>
      </c>
      <c r="F17" s="3">
        <v>141988000000</v>
      </c>
    </row>
    <row r="18" spans="1:6" x14ac:dyDescent="0.3">
      <c r="A18" s="1" t="s">
        <v>9</v>
      </c>
      <c r="B18" s="3">
        <v>343479000000</v>
      </c>
      <c r="C18" s="3">
        <v>268477000000</v>
      </c>
      <c r="D18" s="3">
        <v>206223000000</v>
      </c>
      <c r="E18" s="3">
        <v>166542000000</v>
      </c>
      <c r="F18" s="3">
        <v>141988000000</v>
      </c>
    </row>
    <row r="19" spans="1:6" x14ac:dyDescent="0.3">
      <c r="A19" s="1" t="s">
        <v>10</v>
      </c>
      <c r="B19" s="3">
        <v>79446000000</v>
      </c>
      <c r="C19" s="3">
        <v>71816000000</v>
      </c>
      <c r="D19" s="3">
        <v>86431000000</v>
      </c>
      <c r="E19" s="3">
        <v>97709000000</v>
      </c>
      <c r="F19" s="3">
        <v>122016000000</v>
      </c>
    </row>
    <row r="20" spans="1:6" x14ac:dyDescent="0.3">
      <c r="A20" s="1" t="s">
        <v>11</v>
      </c>
      <c r="B20" s="3">
        <v>112184000000</v>
      </c>
      <c r="C20" s="3">
        <v>97852000000</v>
      </c>
      <c r="D20" s="3">
        <v>79441000000</v>
      </c>
      <c r="E20" s="3">
        <v>78400000000</v>
      </c>
      <c r="F20" s="3">
        <v>82278000000</v>
      </c>
    </row>
    <row r="21" spans="1:6" x14ac:dyDescent="0.3">
      <c r="A21" s="1" t="s">
        <v>12</v>
      </c>
      <c r="B21" s="3">
        <v>81942000000</v>
      </c>
      <c r="C21" s="3">
        <v>79537000000</v>
      </c>
      <c r="D21" s="3">
        <v>44737000000</v>
      </c>
      <c r="E21" s="3">
        <v>64469000000</v>
      </c>
      <c r="F21" s="3">
        <v>68054000000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481CE-62EA-43FA-B6C8-6782A5B15B86}">
  <sheetPr codeName="Sheet30"/>
  <dimension ref="A1:Z200"/>
  <sheetViews>
    <sheetView zoomScaleNormal="100" workbookViewId="0">
      <selection activeCell="A3" sqref="A3:F23"/>
    </sheetView>
  </sheetViews>
  <sheetFormatPr defaultRowHeight="14.4" x14ac:dyDescent="0.3"/>
  <cols>
    <col min="1" max="1" width="26.44140625" bestFit="1" customWidth="1"/>
    <col min="2" max="6" width="15.88671875" bestFit="1" customWidth="1"/>
  </cols>
  <sheetData>
    <row r="1" spans="1:26" ht="21" x14ac:dyDescent="0.4">
      <c r="A1" s="4" t="s">
        <v>25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43</v>
      </c>
      <c r="B4" s="6">
        <v>30242000000</v>
      </c>
      <c r="C4" s="6">
        <v>18315000000</v>
      </c>
      <c r="D4" s="6">
        <v>34704000000</v>
      </c>
      <c r="E4" s="6">
        <v>13931000000</v>
      </c>
      <c r="F4" s="6">
        <v>14224000000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44</v>
      </c>
      <c r="B5" s="6">
        <v>64313000000</v>
      </c>
      <c r="C5" s="6">
        <v>57216000000</v>
      </c>
      <c r="D5" s="6">
        <v>76552000000</v>
      </c>
      <c r="E5" s="6">
        <v>90818000000</v>
      </c>
      <c r="F5" s="6">
        <v>116032000000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6</v>
      </c>
      <c r="B6" s="6">
        <v>94555000000</v>
      </c>
      <c r="C6" s="6">
        <v>75531000000</v>
      </c>
      <c r="D6" s="6">
        <v>111256000000</v>
      </c>
      <c r="E6" s="6">
        <v>104749000000</v>
      </c>
      <c r="F6" s="6">
        <v>130256000000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45</v>
      </c>
      <c r="B7" s="6">
        <v>69905000000</v>
      </c>
      <c r="C7" s="6">
        <v>56924000000</v>
      </c>
      <c r="D7" s="6">
        <v>48688000000</v>
      </c>
      <c r="E7" s="6">
        <v>44261000000</v>
      </c>
      <c r="F7" s="6">
        <v>38043000000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7</v>
      </c>
      <c r="B8" s="6">
        <v>69905000000</v>
      </c>
      <c r="C8" s="6">
        <v>56924000000</v>
      </c>
      <c r="D8" s="6">
        <v>48688000000</v>
      </c>
      <c r="E8" s="6">
        <v>44261000000</v>
      </c>
      <c r="F8" s="6">
        <v>38043000000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46</v>
      </c>
      <c r="B9" s="6">
        <v>938000000</v>
      </c>
      <c r="C9" s="6">
        <v>1246000000</v>
      </c>
      <c r="D9" s="6">
        <v>2500000000</v>
      </c>
      <c r="E9" s="6">
        <v>3742000000</v>
      </c>
      <c r="F9" s="6">
        <v>2636000000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47</v>
      </c>
      <c r="B10" s="6">
        <v>191131000000</v>
      </c>
      <c r="C10" s="6">
        <v>159734000000</v>
      </c>
      <c r="D10" s="6">
        <v>184257000000</v>
      </c>
      <c r="E10" s="6">
        <v>169684000000</v>
      </c>
      <c r="F10" s="6">
        <v>184406000000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48</v>
      </c>
      <c r="B11" s="6">
        <v>229789000000</v>
      </c>
      <c r="C11" s="6">
        <v>154552000000</v>
      </c>
      <c r="D11" s="6">
        <v>109987000000</v>
      </c>
      <c r="E11" s="6">
        <v>87546000000</v>
      </c>
      <c r="F11" s="6">
        <v>70803000000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49</v>
      </c>
      <c r="B12" s="6">
        <v>619003000000</v>
      </c>
      <c r="C12" s="6">
        <v>512163000000</v>
      </c>
      <c r="D12" s="6">
        <v>411976000000</v>
      </c>
      <c r="E12" s="6">
        <v>364840000000</v>
      </c>
      <c r="F12" s="6">
        <v>333779000000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8</v>
      </c>
      <c r="B13" s="6">
        <v>27724000000</v>
      </c>
      <c r="C13" s="6">
        <v>21996000000</v>
      </c>
      <c r="D13" s="6">
        <v>18095000000</v>
      </c>
      <c r="E13" s="6">
        <v>19000000000</v>
      </c>
      <c r="F13" s="6">
        <v>15163000000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577</v>
      </c>
      <c r="B14" s="6">
        <v>2999000000</v>
      </c>
      <c r="C14" s="6">
        <v>8942000000</v>
      </c>
      <c r="D14" s="6">
        <v>5247000000</v>
      </c>
      <c r="E14" s="6">
        <v>2749000000</v>
      </c>
      <c r="F14" s="6">
        <v>8072000000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A15" t="s">
        <v>50</v>
      </c>
      <c r="B15" s="6">
        <v>141218000000</v>
      </c>
      <c r="C15" s="6">
        <v>125286000000</v>
      </c>
      <c r="D15" s="6">
        <v>104149000000</v>
      </c>
      <c r="E15" s="6">
        <v>95082000000</v>
      </c>
      <c r="F15" s="6">
        <v>88657000000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A16" t="s">
        <v>51</v>
      </c>
      <c r="B16" s="6">
        <v>40152000000</v>
      </c>
      <c r="C16" s="6">
        <v>42688000000</v>
      </c>
      <c r="D16" s="6">
        <v>41990000000</v>
      </c>
      <c r="E16" s="6">
        <v>47032000000</v>
      </c>
      <c r="F16" s="6">
        <v>50074000000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3">
      <c r="A17" t="s">
        <v>52</v>
      </c>
      <c r="B17" s="6">
        <v>275524000000</v>
      </c>
      <c r="C17" s="6">
        <v>243686000000</v>
      </c>
      <c r="D17" s="6">
        <v>205753000000</v>
      </c>
      <c r="E17" s="6">
        <v>198298000000</v>
      </c>
      <c r="F17" s="6">
        <v>191791000000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3">
      <c r="A18" t="s">
        <v>53</v>
      </c>
      <c r="B18" s="6">
        <v>237731000000</v>
      </c>
      <c r="C18" s="6">
        <v>173144000000</v>
      </c>
      <c r="D18" s="6">
        <v>118848000000</v>
      </c>
      <c r="E18" s="6">
        <v>84281000000</v>
      </c>
      <c r="F18" s="6">
        <v>57055000000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3">
      <c r="A19" t="s">
        <v>54</v>
      </c>
      <c r="B19" s="6">
        <v>343479000000</v>
      </c>
      <c r="C19" s="6">
        <v>268477000000</v>
      </c>
      <c r="D19" s="6">
        <v>206223000000</v>
      </c>
      <c r="E19" s="6">
        <v>166542000000</v>
      </c>
      <c r="F19" s="6">
        <v>141988000000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3">
      <c r="A20" t="s">
        <v>9</v>
      </c>
      <c r="B20" s="6">
        <v>343479000000</v>
      </c>
      <c r="C20" s="6">
        <v>268477000000</v>
      </c>
      <c r="D20" s="6">
        <v>206223000000</v>
      </c>
      <c r="E20" s="6">
        <v>166542000000</v>
      </c>
      <c r="F20" s="6">
        <v>141988000000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3">
      <c r="A21" t="s">
        <v>10</v>
      </c>
      <c r="B21" s="6">
        <v>79446000000</v>
      </c>
      <c r="C21" s="6">
        <v>71816000000</v>
      </c>
      <c r="D21" s="6">
        <v>86431000000</v>
      </c>
      <c r="E21" s="6">
        <v>97709000000</v>
      </c>
      <c r="F21" s="6">
        <v>122016000000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3">
      <c r="A22" t="s">
        <v>11</v>
      </c>
      <c r="B22" s="6">
        <v>112184000000</v>
      </c>
      <c r="C22" s="6">
        <v>97852000000</v>
      </c>
      <c r="D22" s="6">
        <v>79441000000</v>
      </c>
      <c r="E22" s="6">
        <v>78400000000</v>
      </c>
      <c r="F22" s="6">
        <v>82278000000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3">
      <c r="A23" t="s">
        <v>12</v>
      </c>
      <c r="B23" s="6">
        <v>81942000000</v>
      </c>
      <c r="C23" s="6">
        <v>79537000000</v>
      </c>
      <c r="D23" s="6">
        <v>44737000000</v>
      </c>
      <c r="E23" s="6">
        <v>64469000000</v>
      </c>
      <c r="F23" s="6">
        <v>68054000000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86423-91AB-4F7F-8549-9FCD7398265A}">
  <sheetPr codeName="Sheet6"/>
  <dimension ref="A1:F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35.21875" style="1" bestFit="1" customWidth="1"/>
    <col min="2" max="6" width="15.3320312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28</v>
      </c>
      <c r="B2" s="3">
        <v>281724000000</v>
      </c>
      <c r="C2" s="3">
        <v>245122000000</v>
      </c>
      <c r="D2" s="3">
        <v>211915000000</v>
      </c>
      <c r="E2" s="3">
        <v>198270000000</v>
      </c>
      <c r="F2" s="3">
        <v>168088000000</v>
      </c>
    </row>
    <row r="3" spans="1:6" x14ac:dyDescent="0.3">
      <c r="A3" s="1" t="s">
        <v>29</v>
      </c>
      <c r="B3" s="3">
        <v>87831000000</v>
      </c>
      <c r="C3" s="3">
        <v>74114000000</v>
      </c>
      <c r="D3" s="3">
        <v>65863000000</v>
      </c>
      <c r="E3" s="3">
        <v>62650000000</v>
      </c>
      <c r="F3" s="3">
        <v>52232000000</v>
      </c>
    </row>
    <row r="4" spans="1:6" x14ac:dyDescent="0.3">
      <c r="A4" s="1" t="s">
        <v>30</v>
      </c>
      <c r="B4" s="3">
        <v>193893000000</v>
      </c>
      <c r="C4" s="3">
        <v>171008000000</v>
      </c>
      <c r="D4" s="3">
        <v>146052000000</v>
      </c>
      <c r="E4" s="3">
        <v>135620000000</v>
      </c>
      <c r="F4" s="3">
        <v>115856000000</v>
      </c>
    </row>
    <row r="5" spans="1:6" x14ac:dyDescent="0.3">
      <c r="A5" s="1" t="s">
        <v>31</v>
      </c>
      <c r="B5" s="3">
        <v>32488000000</v>
      </c>
      <c r="C5" s="3">
        <v>29510000000</v>
      </c>
      <c r="D5" s="3">
        <v>27195000000</v>
      </c>
      <c r="E5" s="3">
        <v>24512000000</v>
      </c>
      <c r="F5" s="3">
        <v>20716000000</v>
      </c>
    </row>
    <row r="6" spans="1:6" x14ac:dyDescent="0.3">
      <c r="A6" s="1" t="s">
        <v>32</v>
      </c>
      <c r="B6" s="3">
        <v>32877000000</v>
      </c>
      <c r="C6" s="3">
        <v>32065000000</v>
      </c>
      <c r="D6" s="3">
        <v>30334000000</v>
      </c>
      <c r="E6" s="3">
        <v>27725000000</v>
      </c>
      <c r="F6" s="3">
        <v>25224000000</v>
      </c>
    </row>
    <row r="7" spans="1:6" x14ac:dyDescent="0.3">
      <c r="A7" s="1" t="s">
        <v>33</v>
      </c>
      <c r="B7" s="3">
        <v>65365000000</v>
      </c>
      <c r="C7" s="3">
        <v>61575000000</v>
      </c>
      <c r="D7" s="3">
        <v>57529000000</v>
      </c>
      <c r="E7" s="3">
        <v>52237000000</v>
      </c>
      <c r="F7" s="3">
        <v>45940000000</v>
      </c>
    </row>
    <row r="8" spans="1:6" x14ac:dyDescent="0.3">
      <c r="A8" s="1" t="s">
        <v>34</v>
      </c>
      <c r="B8" s="3">
        <v>2385000000</v>
      </c>
      <c r="C8" s="3">
        <v>2935000000</v>
      </c>
      <c r="D8" s="3">
        <v>1968000000</v>
      </c>
      <c r="E8" s="3">
        <v>2063000000</v>
      </c>
      <c r="F8" s="3">
        <v>2346000000</v>
      </c>
    </row>
    <row r="9" spans="1:6" x14ac:dyDescent="0.3">
      <c r="A9" s="1" t="s">
        <v>35</v>
      </c>
      <c r="B9" s="3">
        <v>34153000000</v>
      </c>
      <c r="C9" s="3">
        <v>22287000000</v>
      </c>
      <c r="D9" s="3">
        <v>13861000000</v>
      </c>
      <c r="E9" s="3">
        <v>14460000000</v>
      </c>
      <c r="F9" s="3">
        <v>11686000000</v>
      </c>
    </row>
    <row r="10" spans="1:6" x14ac:dyDescent="0.3">
      <c r="A10" s="1" t="s">
        <v>36</v>
      </c>
      <c r="B10" s="3">
        <v>126012000000</v>
      </c>
      <c r="C10" s="3">
        <v>110722000000</v>
      </c>
      <c r="D10" s="3">
        <v>91279000000</v>
      </c>
      <c r="E10" s="3">
        <v>85779000000</v>
      </c>
      <c r="F10" s="3">
        <v>73448000000</v>
      </c>
    </row>
    <row r="11" spans="1:6" x14ac:dyDescent="0.3">
      <c r="A11" s="1" t="s">
        <v>37</v>
      </c>
      <c r="B11" s="3">
        <v>128528000000</v>
      </c>
      <c r="C11" s="3">
        <v>109433000000</v>
      </c>
      <c r="D11" s="3">
        <v>88523000000</v>
      </c>
      <c r="E11" s="3">
        <v>83383000000</v>
      </c>
      <c r="F11" s="3">
        <v>69916000000</v>
      </c>
    </row>
    <row r="12" spans="1:6" x14ac:dyDescent="0.3">
      <c r="A12" s="1" t="s">
        <v>38</v>
      </c>
      <c r="B12" s="3">
        <v>123627000000</v>
      </c>
      <c r="C12" s="3">
        <v>107787000000</v>
      </c>
      <c r="D12" s="3">
        <v>89311000000</v>
      </c>
      <c r="E12" s="3">
        <v>83716000000</v>
      </c>
      <c r="F12" s="3">
        <v>71102000000</v>
      </c>
    </row>
    <row r="13" spans="1:6" x14ac:dyDescent="0.3">
      <c r="A13" s="1" t="s">
        <v>39</v>
      </c>
      <c r="B13" s="3">
        <v>21795000000</v>
      </c>
      <c r="C13" s="3">
        <v>19651000000</v>
      </c>
      <c r="D13" s="3">
        <v>16950000000</v>
      </c>
      <c r="E13" s="3">
        <v>10978000000</v>
      </c>
      <c r="F13" s="3">
        <v>9831000000</v>
      </c>
    </row>
    <row r="14" spans="1:6" x14ac:dyDescent="0.3">
      <c r="A14" s="1" t="s">
        <v>40</v>
      </c>
      <c r="B14" s="3">
        <v>101832000000</v>
      </c>
      <c r="C14" s="3">
        <v>88136000000</v>
      </c>
      <c r="D14" s="3">
        <v>72361000000</v>
      </c>
      <c r="E14" s="3">
        <v>72738000000</v>
      </c>
      <c r="F14" s="3">
        <v>61271000000</v>
      </c>
    </row>
    <row r="15" spans="1:6" x14ac:dyDescent="0.3">
      <c r="A15" s="1" t="s">
        <v>41</v>
      </c>
      <c r="B15" s="3">
        <v>13.7</v>
      </c>
      <c r="C15" s="3">
        <v>11.86</v>
      </c>
      <c r="D15" s="3">
        <v>9.7200000000000006</v>
      </c>
      <c r="E15" s="3">
        <v>9.6999999999999993</v>
      </c>
      <c r="F15" s="3">
        <v>8.1199999999999992</v>
      </c>
    </row>
    <row r="16" spans="1:6" x14ac:dyDescent="0.3">
      <c r="A16" s="1" t="s">
        <v>42</v>
      </c>
      <c r="B16" s="3">
        <v>13.64</v>
      </c>
      <c r="C16" s="3">
        <v>11.8</v>
      </c>
      <c r="D16" s="3">
        <v>9.68</v>
      </c>
      <c r="E16" s="3">
        <v>9.65</v>
      </c>
      <c r="F16" s="3">
        <v>8.0500000000000007</v>
      </c>
    </row>
    <row r="17" spans="1:6" x14ac:dyDescent="0.3">
      <c r="A17" s="1" t="s">
        <v>4</v>
      </c>
      <c r="B17" s="3">
        <v>7433000000</v>
      </c>
      <c r="C17" s="3">
        <v>7431000000</v>
      </c>
      <c r="D17" s="3">
        <v>7446000000</v>
      </c>
      <c r="E17" s="3">
        <v>7496000000</v>
      </c>
      <c r="F17" s="3">
        <v>7547000000</v>
      </c>
    </row>
    <row r="18" spans="1:6" x14ac:dyDescent="0.3">
      <c r="A18" s="1" t="s">
        <v>5</v>
      </c>
      <c r="B18" s="3">
        <v>7465000000</v>
      </c>
      <c r="C18" s="3">
        <v>7469000000</v>
      </c>
      <c r="D18" s="3">
        <v>7472000000</v>
      </c>
      <c r="E18" s="3">
        <v>7540000000</v>
      </c>
      <c r="F18" s="3">
        <v>7608000000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885A-FCD6-4F7F-8E5B-9725C3E12303}">
  <sheetPr codeName="Sheet31"/>
  <dimension ref="A1:Z200"/>
  <sheetViews>
    <sheetView workbookViewId="0">
      <selection activeCell="E31" sqref="E31"/>
    </sheetView>
  </sheetViews>
  <sheetFormatPr defaultRowHeight="14.4" x14ac:dyDescent="0.3"/>
  <cols>
    <col min="1" max="1" width="35.33203125" bestFit="1" customWidth="1"/>
    <col min="2" max="6" width="15.88671875" bestFit="1" customWidth="1"/>
  </cols>
  <sheetData>
    <row r="1" spans="1:26" ht="21" x14ac:dyDescent="0.4">
      <c r="A1" s="4" t="s">
        <v>24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28</v>
      </c>
      <c r="B4" s="6">
        <v>281724000000</v>
      </c>
      <c r="C4" s="6">
        <v>245122000000</v>
      </c>
      <c r="D4" s="6">
        <v>211915000000</v>
      </c>
      <c r="E4" s="6">
        <v>198270000000</v>
      </c>
      <c r="F4" s="6">
        <v>168088000000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29</v>
      </c>
      <c r="B5" s="6">
        <v>87831000000</v>
      </c>
      <c r="C5" s="6">
        <v>74114000000</v>
      </c>
      <c r="D5" s="6">
        <v>65863000000</v>
      </c>
      <c r="E5" s="6">
        <v>62650000000</v>
      </c>
      <c r="F5" s="6">
        <v>52232000000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30</v>
      </c>
      <c r="B6" s="6">
        <v>193893000000</v>
      </c>
      <c r="C6" s="6">
        <v>171008000000</v>
      </c>
      <c r="D6" s="6">
        <v>146052000000</v>
      </c>
      <c r="E6" s="6">
        <v>135620000000</v>
      </c>
      <c r="F6" s="6">
        <v>115856000000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31</v>
      </c>
      <c r="B7" s="6">
        <v>32488000000</v>
      </c>
      <c r="C7" s="6">
        <v>29510000000</v>
      </c>
      <c r="D7" s="6">
        <v>27195000000</v>
      </c>
      <c r="E7" s="6">
        <v>24512000000</v>
      </c>
      <c r="F7" s="6">
        <v>20716000000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32</v>
      </c>
      <c r="B8" s="6">
        <v>32877000000</v>
      </c>
      <c r="C8" s="6">
        <v>32065000000</v>
      </c>
      <c r="D8" s="6">
        <v>30334000000</v>
      </c>
      <c r="E8" s="6">
        <v>27725000000</v>
      </c>
      <c r="F8" s="6">
        <v>25224000000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33</v>
      </c>
      <c r="B9" s="6">
        <v>65365000000</v>
      </c>
      <c r="C9" s="6">
        <v>61575000000</v>
      </c>
      <c r="D9" s="6">
        <v>57529000000</v>
      </c>
      <c r="E9" s="6">
        <v>52237000000</v>
      </c>
      <c r="F9" s="6">
        <v>45940000000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34</v>
      </c>
      <c r="B10" s="6">
        <v>2385000000</v>
      </c>
      <c r="C10" s="6">
        <v>2935000000</v>
      </c>
      <c r="D10" s="6">
        <v>1968000000</v>
      </c>
      <c r="E10" s="6">
        <v>2063000000</v>
      </c>
      <c r="F10" s="6">
        <v>2346000000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35</v>
      </c>
      <c r="B11" s="6">
        <v>34153000000</v>
      </c>
      <c r="C11" s="6">
        <v>22287000000</v>
      </c>
      <c r="D11" s="6">
        <v>13861000000</v>
      </c>
      <c r="E11" s="6">
        <v>14460000000</v>
      </c>
      <c r="F11" s="6">
        <v>11686000000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36</v>
      </c>
      <c r="B12" s="6">
        <v>126012000000</v>
      </c>
      <c r="C12" s="6">
        <v>110722000000</v>
      </c>
      <c r="D12" s="6">
        <v>91279000000</v>
      </c>
      <c r="E12" s="6">
        <v>85779000000</v>
      </c>
      <c r="F12" s="6">
        <v>73448000000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37</v>
      </c>
      <c r="B13" s="6">
        <v>128528000000</v>
      </c>
      <c r="C13" s="6">
        <v>109433000000</v>
      </c>
      <c r="D13" s="6">
        <v>88523000000</v>
      </c>
      <c r="E13" s="6">
        <v>83383000000</v>
      </c>
      <c r="F13" s="6">
        <v>69916000000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38</v>
      </c>
      <c r="B14" s="6">
        <v>123627000000</v>
      </c>
      <c r="C14" s="6">
        <v>107787000000</v>
      </c>
      <c r="D14" s="6">
        <v>89311000000</v>
      </c>
      <c r="E14" s="6">
        <v>83716000000</v>
      </c>
      <c r="F14" s="6">
        <v>71102000000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A15" t="s">
        <v>39</v>
      </c>
      <c r="B15" s="6">
        <v>21795000000</v>
      </c>
      <c r="C15" s="6">
        <v>19651000000</v>
      </c>
      <c r="D15" s="6">
        <v>16950000000</v>
      </c>
      <c r="E15" s="6">
        <v>10978000000</v>
      </c>
      <c r="F15" s="6">
        <v>9831000000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A16" t="s">
        <v>40</v>
      </c>
      <c r="B16" s="6">
        <v>101832000000</v>
      </c>
      <c r="C16" s="6">
        <v>88136000000</v>
      </c>
      <c r="D16" s="6">
        <v>72361000000</v>
      </c>
      <c r="E16" s="6">
        <v>72738000000</v>
      </c>
      <c r="F16" s="6">
        <v>61271000000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3">
      <c r="A17" t="s">
        <v>41</v>
      </c>
      <c r="B17" s="6">
        <v>13.7</v>
      </c>
      <c r="C17" s="6">
        <v>11.86</v>
      </c>
      <c r="D17" s="6">
        <v>9.7200000000000006</v>
      </c>
      <c r="E17" s="6">
        <v>9.6999999999999993</v>
      </c>
      <c r="F17" s="6">
        <v>8.1199999999999992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3">
      <c r="A18" t="s">
        <v>42</v>
      </c>
      <c r="B18" s="6">
        <v>13.64</v>
      </c>
      <c r="C18" s="6">
        <v>11.8</v>
      </c>
      <c r="D18" s="6">
        <v>9.68</v>
      </c>
      <c r="E18" s="6">
        <v>9.65</v>
      </c>
      <c r="F18" s="6">
        <v>8.0500000000000007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3">
      <c r="A19" t="s">
        <v>4</v>
      </c>
      <c r="B19" s="6">
        <v>7433000000</v>
      </c>
      <c r="C19" s="6">
        <v>7431000000</v>
      </c>
      <c r="D19" s="6">
        <v>7446000000</v>
      </c>
      <c r="E19" s="6">
        <v>7496000000</v>
      </c>
      <c r="F19" s="6">
        <v>7547000000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3">
      <c r="A20" t="s">
        <v>5</v>
      </c>
      <c r="B20" s="6">
        <v>7465000000</v>
      </c>
      <c r="C20" s="6">
        <v>7469000000</v>
      </c>
      <c r="D20" s="6">
        <v>7472000000</v>
      </c>
      <c r="E20" s="6">
        <v>7540000000</v>
      </c>
      <c r="F20" s="6">
        <v>7608000000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3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80802-4F17-4EE2-A71C-C4BD684BE57F}">
  <sheetPr codeName="Sheet1"/>
  <dimension ref="A1:L19"/>
  <sheetViews>
    <sheetView showGridLines="0" tabSelected="1" workbookViewId="0">
      <selection activeCell="M30" sqref="M30"/>
    </sheetView>
  </sheetViews>
  <sheetFormatPr defaultRowHeight="14.4" x14ac:dyDescent="0.3"/>
  <cols>
    <col min="1" max="1" width="41.33203125" customWidth="1"/>
    <col min="2" max="2" width="13.109375" bestFit="1" customWidth="1"/>
    <col min="3" max="4" width="0" hidden="1" customWidth="1"/>
    <col min="5" max="5" width="3.44140625" hidden="1" customWidth="1"/>
  </cols>
  <sheetData>
    <row r="1" spans="1:12" ht="25.8" x14ac:dyDescent="0.5">
      <c r="A1" s="10" t="s">
        <v>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3">
      <c r="A3" s="1" t="s">
        <v>1</v>
      </c>
      <c r="B3" s="11" t="s">
        <v>576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3">
      <c r="A4" s="1" t="s">
        <v>60</v>
      </c>
      <c r="B4" s="1" t="s">
        <v>565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3">
      <c r="A5" s="1" t="s">
        <v>2</v>
      </c>
      <c r="B5" s="30" t="s">
        <v>556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 t="s">
        <v>61</v>
      </c>
      <c r="B6" s="30" t="str">
        <f>Dashboard!B10</f>
        <v>NASDAQ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3">
      <c r="A7" s="1" t="s">
        <v>62</v>
      </c>
      <c r="B7" s="30" t="str">
        <f>TEXT('Historical Metrics'!B59,"0.0") &amp; "/10"</f>
        <v>7.7/10</v>
      </c>
      <c r="C7" s="1"/>
      <c r="D7" s="1"/>
      <c r="E7" s="1"/>
      <c r="G7" s="1"/>
      <c r="H7" s="1"/>
      <c r="I7" s="1"/>
      <c r="J7" s="1"/>
      <c r="K7" s="1"/>
      <c r="L7" s="1"/>
    </row>
    <row r="8" spans="1:12" x14ac:dyDescent="0.3">
      <c r="A8" s="1" t="s">
        <v>63</v>
      </c>
      <c r="B8" s="30" t="str">
        <f>'Historical Metrics'!B60</f>
        <v>HOLD</v>
      </c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3">
      <c r="A9" s="1" t="s">
        <v>64</v>
      </c>
      <c r="B9" s="89">
        <f>'Historical Metrics'!B3</f>
        <v>0.13781533854254713</v>
      </c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1" t="s">
        <v>65</v>
      </c>
      <c r="B10" s="89">
        <f>'Historical Metrics'!B13</f>
        <v>0.29647227341409521</v>
      </c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1" t="s">
        <v>66</v>
      </c>
      <c r="B11" s="85">
        <f>'Historical Metrics'!B31</f>
        <v>0.23129798328282078</v>
      </c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1" t="s">
        <v>67</v>
      </c>
      <c r="B12" s="89">
        <f>'Forward Estimates'!B59</f>
        <v>3.6313997206595172E-2</v>
      </c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1" t="s">
        <v>181</v>
      </c>
      <c r="B13" s="85">
        <f>Dashboard!B6</f>
        <v>381.87</v>
      </c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 t="s">
        <v>557</v>
      </c>
      <c r="B14" s="85">
        <f>'Valuation &amp; Return'!B32</f>
        <v>341.90766284608839</v>
      </c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3">
      <c r="A15" s="1" t="s">
        <v>562</v>
      </c>
      <c r="B15" s="89">
        <f>'Valuation &amp; Return'!B50</f>
        <v>5.2347876570943905E-3</v>
      </c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3">
      <c r="A16" s="1" t="s">
        <v>563</v>
      </c>
      <c r="B16" s="89">
        <f>(B14-B13)/B14</f>
        <v>-0.11688049580772597</v>
      </c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3">
      <c r="A17" s="1" t="s">
        <v>564</v>
      </c>
      <c r="B17" s="30" t="str">
        <f>IF(B16&lt;=-20%,"Premium",
 IF(B16&lt;-10%,"Slight Premium",
 IF(B16&lt;=10%,"Fairly Valued",
 IF(B16&lt;20%,"Slight Discount","Discount"))))</f>
        <v>Slight Premium</v>
      </c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3">
      <c r="A18" s="1" t="s">
        <v>518</v>
      </c>
      <c r="B18" s="89">
        <f>'Valuation &amp; Return'!B34</f>
        <v>0.73089878333967451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3">
      <c r="A19" s="8"/>
      <c r="B19" s="6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etch_Data">
                <anchor moveWithCells="1">
                  <from>
                    <xdr:col>5</xdr:col>
                    <xdr:colOff>22860</xdr:colOff>
                    <xdr:row>2</xdr:row>
                    <xdr:rowOff>0</xdr:rowOff>
                  </from>
                  <to>
                    <xdr:col>5</xdr:col>
                    <xdr:colOff>563880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9140-F7D9-4B78-9B5B-51AF2C5A1757}">
  <sheetPr codeName="Sheet23"/>
  <dimension ref="A1:AH62"/>
  <sheetViews>
    <sheetView zoomScale="70" zoomScaleNormal="70" workbookViewId="0">
      <selection activeCell="AM50" sqref="AM50"/>
    </sheetView>
  </sheetViews>
  <sheetFormatPr defaultRowHeight="14.4" x14ac:dyDescent="0.3"/>
  <cols>
    <col min="1" max="1" width="36.6640625" bestFit="1" customWidth="1"/>
    <col min="2" max="2" width="19" bestFit="1" customWidth="1"/>
    <col min="3" max="3" width="17.109375" hidden="1" customWidth="1"/>
    <col min="4" max="4" width="70.44140625" hidden="1" customWidth="1"/>
    <col min="5" max="7" width="8.88671875" hidden="1" customWidth="1"/>
    <col min="8" max="8" width="24.77734375" hidden="1" customWidth="1"/>
    <col min="9" max="9" width="13.109375" hidden="1" customWidth="1"/>
    <col min="10" max="10" width="63" hidden="1" customWidth="1"/>
    <col min="11" max="11" width="12.44140625" hidden="1" customWidth="1"/>
    <col min="12" max="12" width="13" hidden="1" customWidth="1"/>
    <col min="13" max="13" width="12.44140625" hidden="1" customWidth="1"/>
    <col min="14" max="16" width="8.88671875" hidden="1" customWidth="1"/>
    <col min="17" max="18" width="12.5546875" hidden="1" customWidth="1"/>
    <col min="19" max="19" width="12.109375" hidden="1" customWidth="1"/>
    <col min="20" max="21" width="12.5546875" hidden="1" customWidth="1"/>
    <col min="22" max="22" width="8.88671875" hidden="1" customWidth="1"/>
    <col min="23" max="27" width="12.5546875" hidden="1" customWidth="1"/>
    <col min="28" max="33" width="8.88671875" hidden="1" customWidth="1"/>
  </cols>
  <sheetData>
    <row r="1" spans="1:34" ht="21" x14ac:dyDescent="0.4">
      <c r="A1" s="12" t="s">
        <v>122</v>
      </c>
      <c r="B1" s="1"/>
      <c r="C1" s="1"/>
      <c r="D1" s="1"/>
      <c r="E1" s="1"/>
      <c r="F1" s="1"/>
      <c r="G1" s="1"/>
    </row>
    <row r="2" spans="1:34" ht="15.6" x14ac:dyDescent="0.3">
      <c r="A2" s="22" t="s">
        <v>69</v>
      </c>
      <c r="B2" s="1"/>
      <c r="C2" s="1"/>
      <c r="D2" s="1"/>
      <c r="E2" s="1"/>
      <c r="F2" s="1"/>
      <c r="G2" s="1"/>
      <c r="AH2" s="29" t="s">
        <v>155</v>
      </c>
    </row>
    <row r="3" spans="1:34" x14ac:dyDescent="0.3">
      <c r="A3" s="1" t="s">
        <v>70</v>
      </c>
      <c r="B3" s="18">
        <f>(('Income Statement'!B4/'Income Statement'!F4)^(1/4))-1</f>
        <v>0.13781533854254713</v>
      </c>
      <c r="C3" s="1" t="s">
        <v>104</v>
      </c>
      <c r="D3" s="1"/>
      <c r="E3" s="1" t="s">
        <v>97</v>
      </c>
      <c r="F3" s="1"/>
      <c r="G3" s="1"/>
      <c r="AH3" cm="1">
        <f t="array" ref="AH3">_xlfn.IFS(
B3&gt;25%,10,
B3&gt;=20%,9,
B3&gt;=15%,8,
B3&gt;=10%,6,
B3&gt;=5%,4,
B3&gt;0%,2,
B3&lt;0%,0
)</f>
        <v>6</v>
      </c>
    </row>
    <row r="4" spans="1:34" x14ac:dyDescent="0.3">
      <c r="A4" s="1" t="s">
        <v>71</v>
      </c>
      <c r="B4" s="18">
        <f>(('Income Statement'!B18/'Income Statement'!F18)^(1/4))-1</f>
        <v>0.14091850055772981</v>
      </c>
      <c r="C4" s="1" t="s">
        <v>104</v>
      </c>
      <c r="D4" s="1"/>
      <c r="E4" s="1" t="s">
        <v>116</v>
      </c>
      <c r="F4" s="1"/>
      <c r="G4" s="1"/>
      <c r="J4" t="s">
        <v>98</v>
      </c>
      <c r="AH4" cm="1">
        <f t="array" ref="AH4">_xlfn.IFS(
B4&gt;30%,10,
B4&gt;=20%,9,
B4&gt;=15%,8,
B4&gt;=10%,6,
B4&gt;=5%,4,
B4&gt;=0%,2,
B4&lt;0%,0
)</f>
        <v>6</v>
      </c>
    </row>
    <row r="5" spans="1:34" x14ac:dyDescent="0.3">
      <c r="A5" s="1" t="s">
        <v>123</v>
      </c>
      <c r="B5" s="18">
        <f>_xlfn.STDEV.S(I5:L5)</f>
        <v>0.15737040731970187</v>
      </c>
      <c r="C5" s="1" t="s">
        <v>104</v>
      </c>
      <c r="D5" s="1"/>
      <c r="E5" s="1" t="s">
        <v>137</v>
      </c>
      <c r="F5" s="1"/>
      <c r="G5" s="1"/>
      <c r="I5">
        <f>('Income Statement'!B4-'Income Statement'!C4)/'Income Statement'!C4</f>
        <v>0.14932156232406721</v>
      </c>
      <c r="J5">
        <f>('Income Statement'!C4-'Income Statement'!D4)/'Income Statement'!D4</f>
        <v>0.15669962013071279</v>
      </c>
      <c r="K5">
        <f>('Income Statement'!D4-'Income Statement'!E4)/'Income Statement'!E4</f>
        <v>6.8820295556564284E-2</v>
      </c>
      <c r="L5">
        <f>('Income Statement'!F4-'Income Statement'!E4)/'Income Statement'!F4</f>
        <v>-0.17956070629670173</v>
      </c>
      <c r="AH5" cm="1">
        <f t="array" ref="AH5">_xlfn.IFS(
B5&lt;8%,10,
B5&lt;12%,9,
B5&lt;18%,8,
B5&lt;25%,6,
B5&lt;35%,4,
B5&gt;=35%,2
)</f>
        <v>8</v>
      </c>
    </row>
    <row r="6" spans="1:34" ht="15" thickBot="1" x14ac:dyDescent="0.35">
      <c r="A6" s="19" t="s">
        <v>124</v>
      </c>
      <c r="B6" s="20">
        <f>(('Income Statement'!B13/'Income Statement'!F13)^(1/4))-1</f>
        <v>0.16440830406502682</v>
      </c>
      <c r="C6" s="19" t="s">
        <v>104</v>
      </c>
      <c r="D6" s="19"/>
      <c r="E6" s="19" t="s">
        <v>138</v>
      </c>
      <c r="F6" s="19"/>
      <c r="G6" s="19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 cm="1">
        <f t="array" ref="AH6">_xlfn.IFS(
B6&gt;25%,10,
B6&gt;=20%,9,
B6&gt;=15%,8,
B6&gt;=10%,6,
B6&gt;=5%,4,
B6&gt;0%,2,
B6&lt;0%,0
)</f>
        <v>8</v>
      </c>
    </row>
    <row r="7" spans="1:34" hidden="1" x14ac:dyDescent="0.3">
      <c r="A7" s="15" t="s">
        <v>72</v>
      </c>
      <c r="B7" s="1"/>
      <c r="C7" s="1" t="s">
        <v>99</v>
      </c>
      <c r="D7" s="1"/>
      <c r="E7" s="1" t="s">
        <v>100</v>
      </c>
      <c r="F7" s="1"/>
      <c r="G7" s="1"/>
      <c r="I7">
        <f xml:space="preserve"> (('Income Statement'!D4-'Income Statement'!E4)/'Income Statement'!E4)</f>
        <v>6.8820295556564284E-2</v>
      </c>
    </row>
    <row r="8" spans="1:34" hidden="1" x14ac:dyDescent="0.3">
      <c r="A8" s="15" t="s">
        <v>73</v>
      </c>
      <c r="B8" s="1"/>
      <c r="C8" s="1"/>
      <c r="D8" s="1"/>
      <c r="E8" s="1" t="s">
        <v>101</v>
      </c>
      <c r="F8" s="1"/>
      <c r="G8" s="1"/>
      <c r="I8">
        <f>(('Income Statement'!E4-'Income Statement'!F4)/'Income Statement'!F4)</f>
        <v>0.17956070629670173</v>
      </c>
    </row>
    <row r="9" spans="1:34" ht="15" thickTop="1" x14ac:dyDescent="0.3">
      <c r="A9" s="8" t="s">
        <v>119</v>
      </c>
      <c r="B9" s="14">
        <f>((AH3*1)+(AH4*1.3)+(AH6*1.2)+(AH5*0.8))/4.3</f>
        <v>6.9302325581395348</v>
      </c>
      <c r="C9" s="1"/>
      <c r="D9" s="1"/>
      <c r="E9" s="1"/>
      <c r="F9" s="1"/>
      <c r="G9" s="1"/>
    </row>
    <row r="10" spans="1:34" x14ac:dyDescent="0.3">
      <c r="A10" s="1"/>
      <c r="B10" s="1"/>
      <c r="C10" s="1"/>
      <c r="D10" s="1"/>
      <c r="E10" s="1"/>
      <c r="F10" s="1"/>
      <c r="G10" s="1"/>
    </row>
    <row r="11" spans="1:34" ht="15.6" x14ac:dyDescent="0.3">
      <c r="A11" s="22" t="s">
        <v>74</v>
      </c>
      <c r="B11" s="1"/>
      <c r="C11" s="1"/>
      <c r="D11" s="1"/>
      <c r="E11" s="1"/>
      <c r="F11" s="1"/>
      <c r="G11" s="1"/>
    </row>
    <row r="12" spans="1:34" x14ac:dyDescent="0.3">
      <c r="A12" s="1" t="s">
        <v>75</v>
      </c>
      <c r="B12" s="18">
        <f>SUM('Income Statement'!B16:F16)/SUM('Income Statement'!B4:F4)</f>
        <v>0.35863830049071638</v>
      </c>
      <c r="C12" s="1" t="s">
        <v>104</v>
      </c>
      <c r="D12" s="1"/>
      <c r="E12" s="1" t="s">
        <v>102</v>
      </c>
      <c r="F12" s="1"/>
      <c r="G12" s="1"/>
      <c r="AH12" cm="1">
        <f t="array" ref="AH12">_xlfn.IFS(
B12&gt;20%,10,
B12&gt;=15%,9,
B12&gt;=10%,8,
B12&gt;=5%,6,
B12&gt;=2%,4,
B12&lt;2%,2
)</f>
        <v>10</v>
      </c>
    </row>
    <row r="13" spans="1:34" x14ac:dyDescent="0.3">
      <c r="A13" s="1" t="s">
        <v>76</v>
      </c>
      <c r="B13" s="18">
        <f>'Income Statement'!B16/'Balance Sheet'!B19</f>
        <v>0.29647227341409521</v>
      </c>
      <c r="C13" s="1" t="s">
        <v>103</v>
      </c>
      <c r="D13" s="1"/>
      <c r="E13" s="1" t="s">
        <v>105</v>
      </c>
      <c r="F13" s="1"/>
      <c r="G13" s="1"/>
      <c r="AH13" cm="1">
        <f t="array" ref="AH13">_xlfn.IFS(
B13&gt;30%,10,
B13&gt;=20%,9,
B13&gt;=15%,8,
B13&gt;=10%,6,
B13&gt;=5%,4,
B13&lt;5%,2
)</f>
        <v>9</v>
      </c>
    </row>
    <row r="14" spans="1:34" x14ac:dyDescent="0.3">
      <c r="A14" s="1" t="s">
        <v>125</v>
      </c>
      <c r="B14" s="18">
        <f>1/5*(SUM(I14:M14))</f>
        <v>0.69270384258121021</v>
      </c>
      <c r="C14" s="1" t="s">
        <v>104</v>
      </c>
      <c r="D14" s="1"/>
      <c r="E14" s="1" t="s">
        <v>139</v>
      </c>
      <c r="F14" s="1"/>
      <c r="G14" s="1"/>
      <c r="I14">
        <f>('Income Statement'!B4-'Income Statement'!B5)/'Income Statement'!B4</f>
        <v>0.68823742386165188</v>
      </c>
      <c r="J14">
        <f>('Income Statement'!C4-'Income Statement'!C5)/'Income Statement'!C4</f>
        <v>0.69764443827971379</v>
      </c>
      <c r="K14">
        <f>('Income Statement'!D4-'Income Statement'!E5)/'Income Statement'!D4</f>
        <v>0.70436259821154712</v>
      </c>
      <c r="L14">
        <f>('Income Statement'!E4-'Income Statement'!E5)/'Income Statement'!E4</f>
        <v>0.68401674484289099</v>
      </c>
      <c r="M14">
        <f>('Income Statement'!F4-'Income Statement'!F5)/'Income Statement'!F4</f>
        <v>0.68925800771024703</v>
      </c>
      <c r="AH14" cm="1">
        <f t="array" ref="AH14">_xlfn.IFS(
B14&gt;70%,10,
B14&gt;=60%,9,
B14&gt;=45%,8,
B14&gt;=30%,6,
B14&gt;=20%,4,
B14&lt;20%,2
)</f>
        <v>9</v>
      </c>
    </row>
    <row r="15" spans="1:34" x14ac:dyDescent="0.3">
      <c r="A15" s="1" t="s">
        <v>568</v>
      </c>
      <c r="B15" s="18">
        <f>1/5*(SUM(I15:M15))</f>
        <v>0.43986467251036415</v>
      </c>
      <c r="C15" s="1" t="s">
        <v>104</v>
      </c>
      <c r="D15" s="1"/>
      <c r="E15" s="1" t="s">
        <v>567</v>
      </c>
      <c r="F15" s="1"/>
      <c r="G15" s="1"/>
      <c r="I15" s="44">
        <f>('Income Statement'!B12/'Income Statement'!B4)</f>
        <v>0.44728883588192697</v>
      </c>
      <c r="J15" s="44">
        <f>('Income Statement'!C12/'Income Statement'!C4)</f>
        <v>0.45170160165142254</v>
      </c>
      <c r="K15" s="44">
        <f>('Income Statement'!D12/'Income Statement'!D4)</f>
        <v>0.43073402071585304</v>
      </c>
      <c r="L15" s="44">
        <f>('Income Statement'!E12/'Income Statement'!E4)</f>
        <v>0.43263731275533363</v>
      </c>
      <c r="M15" s="44">
        <f>('Income Statement'!F12/'Income Statement'!F4)</f>
        <v>0.43696159154728476</v>
      </c>
      <c r="AH15" cm="1">
        <f t="array" ref="AH15">_xlfn.IFS(
B15&gt;20%,10,
B15&gt;=15%,9,
B15&gt;=10%,8,
B15&gt;=5%,6,
B15&gt;=2%,4,
B15&lt;2%,2
)</f>
        <v>10</v>
      </c>
    </row>
    <row r="16" spans="1:34" ht="15" thickBot="1" x14ac:dyDescent="0.35">
      <c r="A16" s="19" t="s">
        <v>120</v>
      </c>
      <c r="B16" s="21">
        <f>AVERAGE(AC49:AG49)</f>
        <v>0.27667044469326074</v>
      </c>
      <c r="C16" s="19" t="s">
        <v>103</v>
      </c>
      <c r="D16" s="19"/>
      <c r="E16" s="19" t="s">
        <v>566</v>
      </c>
      <c r="F16" s="19"/>
      <c r="G16" s="19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 cm="1">
        <f t="array" ref="AH16">_xlfn.IFS(
B16&gt;25%,10,
B16&gt;=20%,9,
B16&gt;=15%,8,
B16&gt;=10%,6,
B16&gt;=5%,4,
B16&lt;5%,2
)</f>
        <v>10</v>
      </c>
    </row>
    <row r="17" spans="1:34" hidden="1" x14ac:dyDescent="0.3">
      <c r="A17" s="15" t="s">
        <v>77</v>
      </c>
      <c r="B17" s="1"/>
      <c r="C17" s="1"/>
      <c r="D17" s="1"/>
      <c r="E17" s="1"/>
      <c r="F17" s="1"/>
      <c r="G17" s="1"/>
    </row>
    <row r="18" spans="1:34" hidden="1" x14ac:dyDescent="0.3">
      <c r="A18" s="15" t="s">
        <v>78</v>
      </c>
      <c r="B18" s="1"/>
      <c r="C18" s="1"/>
      <c r="D18" s="1"/>
      <c r="E18" s="1"/>
      <c r="F18" s="1"/>
      <c r="G18" s="1"/>
    </row>
    <row r="19" spans="1:34" ht="15" thickTop="1" x14ac:dyDescent="0.3">
      <c r="A19" s="8" t="s">
        <v>79</v>
      </c>
      <c r="B19" s="14">
        <f>((AH12*1+(AH13*1)+(AH14*0.8)+(AH15*1)+(AH16*1.5))/5.3)</f>
        <v>9.6603773584905674</v>
      </c>
      <c r="C19" s="1"/>
      <c r="D19" s="1"/>
      <c r="E19" s="1"/>
      <c r="F19" s="1"/>
      <c r="G19" s="1"/>
    </row>
    <row r="20" spans="1:34" x14ac:dyDescent="0.3">
      <c r="A20" s="1"/>
      <c r="B20" s="1"/>
      <c r="C20" s="1"/>
      <c r="D20" s="1"/>
      <c r="E20" s="1"/>
      <c r="F20" s="1"/>
      <c r="G20" s="1"/>
    </row>
    <row r="21" spans="1:34" ht="15.6" x14ac:dyDescent="0.3">
      <c r="A21" s="22" t="s">
        <v>80</v>
      </c>
      <c r="B21" s="1"/>
      <c r="C21" s="1"/>
      <c r="D21" s="1"/>
      <c r="E21" s="1"/>
      <c r="F21" s="1"/>
      <c r="G21" s="1"/>
    </row>
    <row r="22" spans="1:34" x14ac:dyDescent="0.3">
      <c r="A22" s="1" t="s">
        <v>81</v>
      </c>
      <c r="B22" s="23">
        <f>COUNTIF('Cash Flow Statement'!B13:F13,"&gt;0")</f>
        <v>5</v>
      </c>
      <c r="C22" t="s">
        <v>108</v>
      </c>
      <c r="D22" t="s">
        <v>109</v>
      </c>
      <c r="AH22" cm="1">
        <f t="array" ref="AH22">_xlfn.IFS(
B22=5,10,
B22=4,8,
B22=3,6,
B22=2,4,
B22=1,2,
B22=0,0
)</f>
        <v>10</v>
      </c>
    </row>
    <row r="23" spans="1:34" x14ac:dyDescent="0.3">
      <c r="A23" s="1" t="s">
        <v>82</v>
      </c>
      <c r="B23" s="54">
        <f>'Cash Flow Statement'!B11/'Income Statement'!B16</f>
        <v>1.3371238903291696</v>
      </c>
      <c r="C23" s="1" t="s">
        <v>106</v>
      </c>
      <c r="D23" s="1"/>
      <c r="E23" s="1" t="s">
        <v>107</v>
      </c>
      <c r="F23" s="1"/>
      <c r="G23" s="1"/>
      <c r="AH23" cm="1">
        <f t="array" ref="AH23">_xlfn.IFS(
B23&gt;150%,10,
B23&gt;=120%,9,
B23&gt;=100%,8,
B23&gt;=80%,6,
B23&gt;=60%,4,
B23&lt;60%,2
)</f>
        <v>9</v>
      </c>
    </row>
    <row r="24" spans="1:34" x14ac:dyDescent="0.3">
      <c r="A24" s="1" t="s">
        <v>126</v>
      </c>
      <c r="B24" s="24">
        <f>AVERAGE(I24:M24)</f>
        <v>0.29989434595515752</v>
      </c>
      <c r="C24" s="1" t="s">
        <v>106</v>
      </c>
      <c r="D24" s="1" t="s">
        <v>150</v>
      </c>
      <c r="E24" s="1" t="s">
        <v>151</v>
      </c>
      <c r="F24" s="1"/>
      <c r="G24" s="1"/>
      <c r="I24">
        <f>'Cash Flow Statement'!B13/'Income Statement'!B4</f>
        <v>0.25418849654271558</v>
      </c>
      <c r="J24">
        <f>'Cash Flow Statement'!C13/'Income Statement'!C4</f>
        <v>0.30218013886962408</v>
      </c>
      <c r="K24">
        <f>'Cash Flow Statement'!D13/'Income Statement'!D4</f>
        <v>0.28065497959087371</v>
      </c>
      <c r="L24">
        <f>'Cash Flow Statement'!E13/'Income Statement'!E4</f>
        <v>0.32858727997175569</v>
      </c>
      <c r="M24">
        <f>'Cash Flow Statement'!F13/'Income Statement'!F4</f>
        <v>0.33386083480081863</v>
      </c>
      <c r="AH24" cm="1">
        <f t="array" ref="AH24">_xlfn.IFS(
B24&gt;20%,10,
B24&gt;=15%,9,
B24&gt;=8%,8,
B24&gt;=3%,6,
B24&gt;=0%,4,
B24&lt;0%,2
)</f>
        <v>10</v>
      </c>
    </row>
    <row r="25" spans="1:34" ht="15" thickBot="1" x14ac:dyDescent="0.35">
      <c r="A25" s="19" t="s">
        <v>127</v>
      </c>
      <c r="B25" s="90">
        <f>AVERAGE(E25:I25)</f>
        <v>0.83542589517369714</v>
      </c>
      <c r="C25" s="19" t="s">
        <v>106</v>
      </c>
      <c r="D25" s="19" t="s">
        <v>152</v>
      </c>
      <c r="E25" s="19">
        <f>'Cash Flow Statement'!B13/'Income Statement'!B16</f>
        <v>0.70322688349438289</v>
      </c>
      <c r="F25" s="19">
        <f>'Cash Flow Statement'!C13/'Income Statement'!C16</f>
        <v>0.84041708269038762</v>
      </c>
      <c r="G25" s="19">
        <f>'Cash Flow Statement'!D13/'Income Statement'!D16</f>
        <v>0.82192064786279906</v>
      </c>
      <c r="H25" s="19">
        <f>'Cash Flow Statement'!E13/'Income Statement'!E16</f>
        <v>0.89566663917072231</v>
      </c>
      <c r="I25" s="19">
        <f>'Cash Flow Statement'!F13/'Income Statement'!F16</f>
        <v>0.91589822265019338</v>
      </c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 cm="1">
        <f t="array" ref="AH25">_xlfn.IFS(
B25&gt;150%,10,
B25&gt;=120%,9,
B25&gt;=100%,8,
B25&gt;=80%,6,
B25&gt;=60%,4,
B25&lt;60%,2
)</f>
        <v>6</v>
      </c>
    </row>
    <row r="26" spans="1:34" hidden="1" x14ac:dyDescent="0.3">
      <c r="A26" s="17" t="s">
        <v>83</v>
      </c>
      <c r="B26" s="1"/>
      <c r="C26" s="1"/>
      <c r="D26" s="1"/>
      <c r="E26" s="1"/>
      <c r="F26" s="1"/>
      <c r="G26" s="1"/>
    </row>
    <row r="27" spans="1:34" hidden="1" x14ac:dyDescent="0.3">
      <c r="A27" s="17" t="s">
        <v>84</v>
      </c>
      <c r="B27" s="1"/>
      <c r="C27" s="1"/>
      <c r="D27" s="1"/>
      <c r="E27" s="1"/>
      <c r="F27" s="1"/>
      <c r="G27" s="1"/>
    </row>
    <row r="28" spans="1:34" ht="15" thickTop="1" x14ac:dyDescent="0.3">
      <c r="A28" s="8" t="s">
        <v>85</v>
      </c>
      <c r="B28" s="14">
        <f>((AH22*1.2)+(AH23*1.4)+(AH24*1)+(AH25*1.4))/5</f>
        <v>8.6</v>
      </c>
      <c r="C28" s="1"/>
      <c r="D28" s="1"/>
      <c r="E28" s="1"/>
      <c r="F28" s="1"/>
      <c r="G28" s="1"/>
    </row>
    <row r="29" spans="1:3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34" ht="15.6" x14ac:dyDescent="0.3">
      <c r="A30" s="22" t="s">
        <v>86</v>
      </c>
      <c r="B30" s="1"/>
      <c r="C30" s="1"/>
      <c r="D30" s="1"/>
      <c r="E30" s="1"/>
      <c r="F30" s="1"/>
      <c r="G30" s="1"/>
      <c r="H30" s="1"/>
      <c r="I30" s="1"/>
      <c r="J30" s="1"/>
    </row>
    <row r="31" spans="1:34" x14ac:dyDescent="0.3">
      <c r="A31" s="1" t="s">
        <v>66</v>
      </c>
      <c r="B31" s="25">
        <f>'Balance Sheet'!B21/'Balance Sheet'!B19</f>
        <v>0.23129798328282078</v>
      </c>
      <c r="C31" s="1" t="s">
        <v>110</v>
      </c>
      <c r="D31" s="1" t="s">
        <v>113</v>
      </c>
      <c r="E31" s="1"/>
      <c r="F31" s="1"/>
      <c r="G31" s="1"/>
      <c r="H31" s="1"/>
      <c r="I31" s="1"/>
      <c r="J31" s="1"/>
      <c r="AH31" cm="1">
        <f t="array" ref="AH31">_xlfn.IFS(
B31&lt;0.2,10,
B31&lt;0.5,9,
B31&lt;1,7,
B31&lt;2,5,
B31&gt;=2,2
)</f>
        <v>9</v>
      </c>
    </row>
    <row r="32" spans="1:34" x14ac:dyDescent="0.3">
      <c r="A32" s="1" t="s">
        <v>87</v>
      </c>
      <c r="B32" s="25">
        <f>'Income Statement'!B12/'Income Statement'!B10</f>
        <v>52.835220125786165</v>
      </c>
      <c r="C32" s="1" t="s">
        <v>111</v>
      </c>
      <c r="D32" s="1" t="s">
        <v>112</v>
      </c>
      <c r="E32" s="1"/>
      <c r="F32" s="1"/>
      <c r="G32" s="1"/>
      <c r="H32" s="1"/>
      <c r="I32" s="1"/>
      <c r="J32" s="1"/>
      <c r="AH32" cm="1">
        <f t="array" ref="AH32">_xlfn.IFS(
B32&gt;30,10,
B32&gt;=20,9,
B32&gt;=10,8,
B32&gt;=5,6,
B32&gt;=2,4,
B32&lt;2,1
)</f>
        <v>10</v>
      </c>
    </row>
    <row r="33" spans="1:34" x14ac:dyDescent="0.3">
      <c r="A33" s="1" t="s">
        <v>128</v>
      </c>
      <c r="B33" s="26">
        <f>(('Balance Sheet'!B21/'Balance Sheet'!F21)^(1/4))-1</f>
        <v>-0.10171569206387499</v>
      </c>
      <c r="C33" s="1" t="s">
        <v>110</v>
      </c>
      <c r="D33" s="1" t="s">
        <v>141</v>
      </c>
      <c r="E33" s="1"/>
      <c r="F33" s="1"/>
      <c r="G33" s="1"/>
      <c r="H33" s="1"/>
      <c r="I33" s="1"/>
      <c r="J33" s="1"/>
      <c r="AH33" cm="1">
        <f t="array" ref="AH33">_xlfn.IFS(
B33&lt;5%,10,
B33&lt;10%,8,
B33&lt;15%,6,
B33&lt;20%,4,
B33&gt;=20%,2
)</f>
        <v>10</v>
      </c>
    </row>
    <row r="34" spans="1:34" ht="15" thickBot="1" x14ac:dyDescent="0.35">
      <c r="A34" s="19" t="s">
        <v>129</v>
      </c>
      <c r="B34" s="91">
        <f>B33/I34</f>
        <v>-0.73805784711309719</v>
      </c>
      <c r="C34" s="19" t="s">
        <v>111</v>
      </c>
      <c r="D34" s="19" t="s">
        <v>142</v>
      </c>
      <c r="E34" s="19"/>
      <c r="F34" s="19"/>
      <c r="G34" s="19"/>
      <c r="H34" s="19"/>
      <c r="I34" s="32">
        <f>(('Income Statement'!B4/'Income Statement'!F4)^(1/4))-1</f>
        <v>0.13781533854254713</v>
      </c>
      <c r="J34" s="19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 cm="1">
        <f t="array" ref="AH34">_xlfn.IFS(
B34&lt;40%,10,
B34&lt;60%,8,
B34&lt;80%,7,
B34&lt;120%,5,
B34&gt;=120%,2
)</f>
        <v>10</v>
      </c>
    </row>
    <row r="35" spans="1:34" hidden="1" x14ac:dyDescent="0.3">
      <c r="A35" s="15" t="s">
        <v>88</v>
      </c>
      <c r="B35" s="1"/>
      <c r="C35" s="1"/>
      <c r="D35" s="1"/>
      <c r="E35" s="1"/>
      <c r="F35" s="1"/>
      <c r="G35" s="1"/>
      <c r="H35" s="1"/>
      <c r="I35" s="1"/>
      <c r="J35" s="1"/>
    </row>
    <row r="36" spans="1:34" hidden="1" x14ac:dyDescent="0.3">
      <c r="A36" s="15" t="s">
        <v>89</v>
      </c>
      <c r="B36" s="1"/>
      <c r="C36" s="1"/>
      <c r="D36" s="1"/>
      <c r="E36" s="1"/>
      <c r="F36" s="1"/>
      <c r="G36" s="1"/>
      <c r="H36" s="1"/>
      <c r="I36" s="1"/>
      <c r="J36" s="1"/>
    </row>
    <row r="37" spans="1:34" ht="15" thickTop="1" x14ac:dyDescent="0.3">
      <c r="A37" s="8" t="s">
        <v>90</v>
      </c>
      <c r="B37" s="14">
        <f>((AH31*1)+(AH32*1.5)+(AH33*0.8)+(AH34*1))/4.3</f>
        <v>9.7674418604651159</v>
      </c>
      <c r="C37" s="1"/>
      <c r="D37" s="1"/>
      <c r="E37" s="1"/>
      <c r="F37" s="1"/>
      <c r="G37" s="1"/>
      <c r="H37" s="1"/>
      <c r="I37" s="1"/>
      <c r="J37" s="1"/>
    </row>
    <row r="38" spans="1:3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34" ht="15.6" x14ac:dyDescent="0.3">
      <c r="A39" s="22" t="s">
        <v>121</v>
      </c>
      <c r="B39" s="1"/>
      <c r="C39" s="1"/>
      <c r="D39" s="1"/>
      <c r="E39" s="1"/>
      <c r="F39" s="1"/>
      <c r="G39" s="1"/>
      <c r="H39" s="1"/>
      <c r="I39" s="1"/>
      <c r="J39" s="1"/>
    </row>
    <row r="40" spans="1:34" x14ac:dyDescent="0.3">
      <c r="A40" s="1" t="s">
        <v>91</v>
      </c>
      <c r="B40" s="13">
        <f>Dashboard!B6/'Income Statement'!B18</f>
        <v>27.99633431085044</v>
      </c>
      <c r="C40" s="1" t="s">
        <v>114</v>
      </c>
      <c r="D40" s="1" t="s">
        <v>115</v>
      </c>
      <c r="E40" s="1"/>
      <c r="F40" s="1"/>
      <c r="G40" s="1"/>
      <c r="H40" s="1"/>
      <c r="I40" s="1"/>
      <c r="J40" s="1"/>
      <c r="AH40" cm="1">
        <f t="array" ref="AH40">_xlfn.IFS(
B40&lt;15,10,
B40&lt;20,9,
B40&lt;25,8,
B40&lt;35,6,
B40&lt;50,4,
B40&gt;=50,2
)</f>
        <v>6</v>
      </c>
    </row>
    <row r="41" spans="1:34" ht="15" thickBot="1" x14ac:dyDescent="0.35">
      <c r="A41" s="19" t="s">
        <v>67</v>
      </c>
      <c r="B41" s="27">
        <f>'Cash Flow Statement'!B13/Dashboard!B7</f>
        <v>2.5254041600757841E-2</v>
      </c>
      <c r="C41" s="19" t="s">
        <v>117</v>
      </c>
      <c r="D41" s="19" t="s">
        <v>118</v>
      </c>
      <c r="E41" s="19"/>
      <c r="F41" s="19"/>
      <c r="G41" s="19"/>
      <c r="H41" s="19"/>
      <c r="I41" s="19"/>
      <c r="J41" s="19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 cm="1">
        <f t="array" ref="AH41">_xlfn.IFS(
B41&gt;6%,10,
B41&gt;=4%,9,
B41&gt;=3%,8,
B41&gt;=2%,6,
B41&gt;=1%,4,
B41&lt;1%,2
)</f>
        <v>6</v>
      </c>
    </row>
    <row r="42" spans="1:34" ht="98.4" hidden="1" x14ac:dyDescent="0.3">
      <c r="A42" s="15" t="s">
        <v>93</v>
      </c>
      <c r="B42" s="1"/>
      <c r="C42" s="1"/>
      <c r="D42" s="1"/>
      <c r="E42" s="1"/>
      <c r="F42" s="1"/>
      <c r="G42" s="1"/>
      <c r="H42" s="1"/>
      <c r="I42" s="1"/>
      <c r="J42" s="1"/>
    </row>
    <row r="43" spans="1:34" ht="98.4" hidden="1" x14ac:dyDescent="0.3">
      <c r="A43" s="15" t="s">
        <v>92</v>
      </c>
      <c r="B43" s="1"/>
      <c r="C43" s="1"/>
      <c r="D43" s="1"/>
      <c r="E43" s="1"/>
      <c r="F43" s="1"/>
      <c r="G43" s="1"/>
      <c r="H43" s="1"/>
      <c r="I43" s="1"/>
      <c r="J43" s="1"/>
    </row>
    <row r="44" spans="1:34" ht="15" thickTop="1" x14ac:dyDescent="0.3">
      <c r="A44" s="8" t="s">
        <v>94</v>
      </c>
      <c r="B44" s="14">
        <f>((AH40*1.2)+(AH41*1))/2.2</f>
        <v>5.9999999999999991</v>
      </c>
      <c r="C44" s="1"/>
      <c r="D44" s="1"/>
      <c r="E44" s="1"/>
      <c r="F44" s="1"/>
      <c r="G44" s="1"/>
      <c r="H44" s="1"/>
      <c r="I44" s="1"/>
      <c r="J44" s="1"/>
    </row>
    <row r="45" spans="1:3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34" ht="15.6" x14ac:dyDescent="0.3">
      <c r="A46" s="22" t="s">
        <v>130</v>
      </c>
      <c r="B46" s="1"/>
      <c r="C46" s="1"/>
      <c r="D46" s="1"/>
      <c r="E46" s="1"/>
      <c r="F46" s="1"/>
      <c r="G46" s="1"/>
      <c r="H46" s="1"/>
      <c r="I46" s="1"/>
      <c r="J46" s="1"/>
    </row>
    <row r="47" spans="1:34" x14ac:dyDescent="0.3">
      <c r="A47" s="1" t="s">
        <v>131</v>
      </c>
      <c r="B47" s="26">
        <f>(('Income Statement'!B19/'Income Statement'!F19)^(1/4))-1</f>
        <v>-3.7979164922825603E-3</v>
      </c>
      <c r="C47" s="1" t="s">
        <v>111</v>
      </c>
      <c r="D47" s="1" t="s">
        <v>143</v>
      </c>
      <c r="E47" s="1"/>
      <c r="F47" s="1"/>
      <c r="G47" s="1"/>
      <c r="H47" s="1"/>
      <c r="I47" s="1"/>
      <c r="J47" s="1"/>
      <c r="AH47" cm="1">
        <f t="array" ref="AH47">_xlfn.IFS(
B47&lt;-2%,10,
B47&lt;0%,9,
B47&lt;1%,8,
B47&lt;3%,6,
B47&gt;=3%,3
)</f>
        <v>9</v>
      </c>
    </row>
    <row r="48" spans="1:34" x14ac:dyDescent="0.3">
      <c r="A48" s="95" t="s">
        <v>132</v>
      </c>
      <c r="B48" s="26">
        <f>AVERAGE(H48:L48)</f>
        <v>1.2552178445989075</v>
      </c>
      <c r="C48" s="1" t="s">
        <v>111</v>
      </c>
      <c r="D48" s="1" t="s">
        <v>144</v>
      </c>
      <c r="E48" s="1"/>
      <c r="F48" s="1"/>
      <c r="G48" s="1"/>
      <c r="H48" s="1">
        <f>('Income Statement'!B16-'Cash Flow Statement'!B14)/'Income Statement'!B16</f>
        <v>1.2364875481184696</v>
      </c>
      <c r="I48" s="1">
        <f>('Income Statement'!C16-'Cash Flow Statement'!C14)/'Income Statement'!C16</f>
        <v>1.2470159753108832</v>
      </c>
      <c r="J48" s="1">
        <f>('Income Statement'!D16-'Cash Flow Statement'!D14)/'Income Statement'!D16</f>
        <v>1.2736280593137188</v>
      </c>
      <c r="K48" s="1">
        <f>('Income Statement'!E16-'Cash Flow Statement'!E14)/'Income Statement'!E16</f>
        <v>1.2493194753773817</v>
      </c>
      <c r="L48" s="1">
        <f>('Income Statement'!F16-'Cash Flow Statement'!F14)/'Income Statement'!F16</f>
        <v>1.269638164874084</v>
      </c>
      <c r="AH48" cm="1">
        <f t="array" ref="AH48">_xlfn.IFS(
B48&gt;90%,10,
B48&gt;=75%,9,
B48&gt;=60%,8,
B48&gt;=40%,6,
B48&gt;=20%,4,
B48&lt;20%,2
)</f>
        <v>10</v>
      </c>
    </row>
    <row r="49" spans="1:34" ht="15" thickBot="1" x14ac:dyDescent="0.35">
      <c r="A49" s="19" t="s">
        <v>133</v>
      </c>
      <c r="B49" s="20">
        <f>AVERAGE(AC49:AG49)*B48</f>
        <v>0.34728167925209602</v>
      </c>
      <c r="C49" s="19" t="s">
        <v>145</v>
      </c>
      <c r="E49" s="19"/>
      <c r="F49" s="19"/>
      <c r="G49" s="19"/>
      <c r="H49" s="19" t="s">
        <v>146</v>
      </c>
      <c r="I49" s="19"/>
      <c r="J49" s="19" t="s">
        <v>147</v>
      </c>
      <c r="K49" s="33">
        <f>'Income Statement'!B15/'Income Statement'!B14</f>
        <v>0.17629644009803683</v>
      </c>
      <c r="L49" s="33">
        <f>'Income Statement'!C15/'Income Statement'!C14</f>
        <v>0.18231326597827197</v>
      </c>
      <c r="M49" s="33">
        <f>'Income Statement'!D15/'Income Statement'!D14</f>
        <v>0.18978625253328257</v>
      </c>
      <c r="N49" s="33">
        <f>'Income Statement'!E15/'Income Statement'!E14</f>
        <v>0.13113383343685794</v>
      </c>
      <c r="O49" s="33">
        <f>'Income Statement'!F15/'Income Statement'!F14</f>
        <v>0.13826615285083402</v>
      </c>
      <c r="P49" s="31"/>
      <c r="Q49" s="34">
        <f>'Income Statement'!B12*(1-'Historical Metrics'!K49)</f>
        <v>103796532990.36618</v>
      </c>
      <c r="R49" s="34">
        <f>(1-L49)*'Income Statement'!C12</f>
        <v>90535910564.35376</v>
      </c>
      <c r="S49" s="34">
        <f>(1-M49)*'Income Statement'!D12</f>
        <v>73955500655.014511</v>
      </c>
      <c r="T49" s="34">
        <f>(1-N49)*'Income Statement'!E12</f>
        <v>74530470901.619766</v>
      </c>
      <c r="U49" s="34">
        <f>(1-O49)*'Income Statement'!F12</f>
        <v>63292627605.411942</v>
      </c>
      <c r="V49" s="31"/>
      <c r="W49" s="35">
        <f>'Balance Sheet'!B21+'Balance Sheet'!B19-'Balance Sheet'!B4</f>
        <v>392683000000</v>
      </c>
      <c r="X49" s="35">
        <f>'Balance Sheet'!C21+'Balance Sheet'!C19-'Balance Sheet'!C4</f>
        <v>321978000000</v>
      </c>
      <c r="Y49" s="35">
        <f>'Balance Sheet'!D21+'Balance Sheet'!D19-'Balance Sheet'!D4</f>
        <v>257950000000</v>
      </c>
      <c r="Z49" s="35">
        <f>'Balance Sheet'!E21+'Balance Sheet'!E19-'Balance Sheet'!E4</f>
        <v>250320000000</v>
      </c>
      <c r="AA49" s="35">
        <f>'Balance Sheet'!F21+'Balance Sheet'!F19-'Balance Sheet'!F4</f>
        <v>249780000000</v>
      </c>
      <c r="AB49" s="31"/>
      <c r="AC49" s="36">
        <f>Q49/W49</f>
        <v>0.26432652544257373</v>
      </c>
      <c r="AD49" s="36">
        <f>R49/X49</f>
        <v>0.281186635622166</v>
      </c>
      <c r="AE49" s="36">
        <f>S49/Y49</f>
        <v>0.28670479028887191</v>
      </c>
      <c r="AF49" s="36">
        <f>T49/Z49</f>
        <v>0.29774077541394922</v>
      </c>
      <c r="AG49" s="36">
        <f>U49/AA49</f>
        <v>0.25339349669874267</v>
      </c>
      <c r="AH49" s="31" cm="1">
        <f t="array" ref="AH49">_xlfn.IFS(
B49&gt;25%,10,
B49&gt;=20%,9,
B49&gt;=15%,8,
B49&gt;=10%,6,
B49&gt;=5%,4,
B49&lt;5%,2
)</f>
        <v>10</v>
      </c>
    </row>
    <row r="50" spans="1:34" ht="15" thickTop="1" x14ac:dyDescent="0.3">
      <c r="A50" s="8" t="s">
        <v>153</v>
      </c>
      <c r="B50" s="13">
        <f>((AH47*1)+(AH48*0.8)+(AH49*1.5))/3.3</f>
        <v>9.6969696969696972</v>
      </c>
      <c r="C50" s="1"/>
      <c r="D50" s="1"/>
      <c r="E50" s="1"/>
      <c r="F50" s="1"/>
      <c r="G50" s="1"/>
      <c r="H50" s="1"/>
      <c r="I50" s="1"/>
      <c r="J50" s="1"/>
    </row>
    <row r="51" spans="1:3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34" ht="15.6" x14ac:dyDescent="0.3">
      <c r="A52" s="22" t="s">
        <v>134</v>
      </c>
      <c r="B52" s="1"/>
      <c r="C52" s="1"/>
      <c r="D52" s="1"/>
      <c r="E52" s="1"/>
      <c r="F52" s="1"/>
      <c r="G52" s="1"/>
      <c r="H52" s="1"/>
      <c r="I52" s="1"/>
      <c r="J52" s="1"/>
    </row>
    <row r="53" spans="1:34" x14ac:dyDescent="0.3">
      <c r="A53" s="1" t="s">
        <v>135</v>
      </c>
      <c r="B53" s="25">
        <f>AVERAGE(E53:I53)</f>
        <v>0.49902962387302241</v>
      </c>
      <c r="C53" s="1" t="s">
        <v>145</v>
      </c>
      <c r="D53" s="1" t="s">
        <v>148</v>
      </c>
      <c r="E53" s="1">
        <f>'Income Statement'!B4/'Balance Sheet'!B12</f>
        <v>0.45512541942446161</v>
      </c>
      <c r="F53" s="1">
        <f>'Income Statement'!C4/'Balance Sheet'!C12</f>
        <v>0.47860153896318164</v>
      </c>
      <c r="G53" s="1">
        <f>'Income Statement'!D4/'Balance Sheet'!D12</f>
        <v>0.51438676039380937</v>
      </c>
      <c r="H53" s="1">
        <f>'Income Statement'!E4/'Balance Sheet'!E12</f>
        <v>0.54344370134853637</v>
      </c>
      <c r="I53" s="1">
        <f>'Income Statement'!F4/'Balance Sheet'!F12</f>
        <v>0.50359069923512267</v>
      </c>
      <c r="J53" s="1"/>
      <c r="AH53" cm="1">
        <f t="array" ref="AH53">_xlfn.IFS(
B53&gt;2,10,
B53&gt;=1.5,9,
B53&gt;=1,8,
B53&gt;=0.7,6,
B53&gt;=0.4,4,
B53&lt;0.4,2
)</f>
        <v>4</v>
      </c>
    </row>
    <row r="54" spans="1:34" ht="15" thickBot="1" x14ac:dyDescent="0.35">
      <c r="A54" s="19" t="s">
        <v>136</v>
      </c>
      <c r="B54" s="20">
        <f>ABS(AVERAGE(E54:I54))</f>
        <v>0.15727362341459411</v>
      </c>
      <c r="C54" s="19" t="s">
        <v>106</v>
      </c>
      <c r="D54" s="19" t="s">
        <v>149</v>
      </c>
      <c r="E54" s="19">
        <f>'Cash Flow Statement'!B12/'Income Statement'!B4</f>
        <v>-0.22912850875324786</v>
      </c>
      <c r="F54" s="19">
        <f>'Cash Flow Statement'!C12/'Income Statement'!C4</f>
        <v>-0.18144842160230415</v>
      </c>
      <c r="G54" s="19">
        <f>'Cash Flow Statement'!D12/'Income Statement'!D4</f>
        <v>-0.13263336715192411</v>
      </c>
      <c r="H54" s="19">
        <f>'Cash Flow Statement'!E12/'Income Statement'!E4</f>
        <v>-0.12047208352246935</v>
      </c>
      <c r="I54" s="19">
        <f>'Cash Flow Statement'!F12/'Income Statement'!F4</f>
        <v>-0.12268573604302509</v>
      </c>
      <c r="J54" s="19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 cm="1">
        <f t="array" ref="AH54">_xlfn.IFS(
ABS(B54)&lt;5%,10,
ABS(B54)&lt;10%,8,
ABS(B54)&lt;20%,6,
ABS(B54)&lt;30%,4,
ABS(B54)&gt;=30%,2
)</f>
        <v>6</v>
      </c>
    </row>
    <row r="55" spans="1:34" ht="15" thickTop="1" x14ac:dyDescent="0.3">
      <c r="A55" s="8" t="s">
        <v>154</v>
      </c>
      <c r="B55" s="28">
        <f>((AH53*1.2)+(AH54*1))/2.2</f>
        <v>4.9090909090909092</v>
      </c>
      <c r="C55" s="1"/>
      <c r="D55" s="1"/>
      <c r="E55" s="1"/>
      <c r="F55" s="1"/>
      <c r="G55" s="1"/>
      <c r="H55" s="1"/>
      <c r="I55" s="1"/>
      <c r="J55" s="1"/>
    </row>
    <row r="56" spans="1:34" x14ac:dyDescent="0.3">
      <c r="A56" s="1"/>
      <c r="B56" s="16"/>
      <c r="C56" s="1"/>
      <c r="D56" s="1"/>
      <c r="E56" s="1"/>
      <c r="F56" s="1"/>
      <c r="G56" s="1"/>
      <c r="H56" s="1"/>
      <c r="I56" s="1"/>
      <c r="J56" s="1"/>
    </row>
    <row r="57" spans="1:34" ht="15.6" x14ac:dyDescent="0.3">
      <c r="A57" s="22" t="s">
        <v>95</v>
      </c>
      <c r="B57" s="1"/>
      <c r="C57" s="1"/>
      <c r="D57" s="1"/>
      <c r="E57" s="1"/>
      <c r="F57" s="1"/>
      <c r="G57" s="1"/>
      <c r="H57" s="1"/>
      <c r="I57" s="1"/>
      <c r="J57" s="1"/>
    </row>
    <row r="58" spans="1:34" ht="15.6" x14ac:dyDescent="0.3">
      <c r="A58" s="22" t="s">
        <v>156</v>
      </c>
      <c r="B58" s="14">
        <f>((B9*0.2)+(B19*0.25)+(B28*0.2)+(B37*0.15)+(B50*0.1)+(B55*0.1))</f>
        <v>8.4468631909263774</v>
      </c>
      <c r="C58" s="1"/>
      <c r="D58" s="1"/>
      <c r="E58" s="1"/>
      <c r="F58" s="1"/>
      <c r="G58" s="1"/>
      <c r="H58" s="1"/>
      <c r="I58" s="1"/>
      <c r="J58" s="1"/>
    </row>
    <row r="59" spans="1:34" ht="15.6" x14ac:dyDescent="0.3">
      <c r="A59" s="22" t="s">
        <v>62</v>
      </c>
      <c r="B59" s="14">
        <f>((B58*0.7)+(B44*0.3))</f>
        <v>7.7128042336484635</v>
      </c>
      <c r="C59" s="1"/>
      <c r="D59" s="1"/>
      <c r="E59" s="1"/>
      <c r="F59" s="1"/>
      <c r="G59" s="1"/>
      <c r="H59" s="1"/>
      <c r="I59" s="1"/>
      <c r="J59" s="1"/>
    </row>
    <row r="60" spans="1:34" ht="15.6" x14ac:dyDescent="0.3">
      <c r="A60" s="22" t="s">
        <v>63</v>
      </c>
      <c r="B60" s="30" t="str" cm="1">
        <f t="array" ref="B60">_xlfn.IFS(B59&gt;=8,"BUY",
     B59&gt;=6,"HOLD",
     TRUE,"SELL")</f>
        <v>HOLD</v>
      </c>
      <c r="C60" s="1"/>
      <c r="D60" s="1"/>
      <c r="E60" s="1"/>
      <c r="F60" s="1"/>
      <c r="G60" s="1"/>
      <c r="H60" s="1"/>
      <c r="I60" s="1"/>
      <c r="J60" s="1"/>
    </row>
    <row r="61" spans="1:34" ht="15.6" x14ac:dyDescent="0.3">
      <c r="A61" s="22" t="s">
        <v>157</v>
      </c>
      <c r="B61" s="30" t="str" cm="1">
        <f t="array" ref="B61">_xlfn.IFS(
AND(B58&gt;=8,B44&lt;=4),"HOLD (Overvalued)",
AND(B58&lt;=5,B44&gt;=7),"AVOID (Value Trap)",
AND(B58&gt;=8,B44&gt;=7),"STRONG BUY",
B59&gt;=8,"BUY",
B59&gt;=6,"HOLD",
TRUE,"SELL"
)</f>
        <v>HOLD</v>
      </c>
      <c r="C61" s="1"/>
      <c r="D61" s="1"/>
      <c r="E61" s="1"/>
      <c r="F61" s="1"/>
      <c r="G61" s="1"/>
      <c r="H61" s="1"/>
      <c r="I61" s="1"/>
      <c r="J61" s="1"/>
    </row>
    <row r="62" spans="1:34" ht="15.6" x14ac:dyDescent="0.3">
      <c r="A62" s="22" t="s">
        <v>158</v>
      </c>
      <c r="B62" s="30" t="str" cm="1">
        <f t="array" ref="B62">_xlfn.IFS(
AND(B58&gt;=8,B44&gt;=7),"ELITE COMPOUNDER",
AND(B58&gt;=8,B44&lt;=4),"HIGH QUALITY – OVERVALUED",
AND(B58&lt;=5,B44&gt;=7),"VALUE TRAP RISK",
TRUE,"NORMAL ZONE"
)</f>
        <v>NORMAL ZONE</v>
      </c>
      <c r="C62" s="1"/>
      <c r="D62" s="1"/>
      <c r="E62" s="1"/>
      <c r="F62" s="1"/>
      <c r="G62" s="1"/>
      <c r="H62" s="1"/>
      <c r="I62" s="1"/>
      <c r="J62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72FC-A155-4C82-9107-FEDE9E89880A}">
  <sheetPr codeName="Sheet2"/>
  <dimension ref="A1:BC69"/>
  <sheetViews>
    <sheetView zoomScale="55" zoomScaleNormal="55" workbookViewId="0">
      <selection activeCell="AT38" sqref="AT38"/>
    </sheetView>
  </sheetViews>
  <sheetFormatPr defaultRowHeight="14.4" x14ac:dyDescent="0.3"/>
  <cols>
    <col min="1" max="1" width="34.109375" bestFit="1" customWidth="1"/>
    <col min="2" max="2" width="22.33203125" customWidth="1"/>
    <col min="3" max="3" width="17.21875" hidden="1" customWidth="1"/>
    <col min="4" max="4" width="15.77734375" hidden="1" customWidth="1"/>
    <col min="5" max="5" width="16.88671875" hidden="1" customWidth="1"/>
    <col min="6" max="6" width="19.21875" hidden="1" customWidth="1"/>
    <col min="7" max="7" width="17.21875" hidden="1" customWidth="1"/>
    <col min="8" max="8" width="46.6640625" hidden="1" customWidth="1"/>
    <col min="9" max="9" width="57.33203125" hidden="1" customWidth="1"/>
    <col min="10" max="10" width="26.77734375" hidden="1" customWidth="1"/>
    <col min="11" max="11" width="27.5546875" hidden="1" customWidth="1"/>
    <col min="12" max="12" width="25.6640625" hidden="1" customWidth="1"/>
    <col min="13" max="13" width="15.109375" hidden="1" customWidth="1"/>
    <col min="14" max="14" width="18.33203125" hidden="1" customWidth="1"/>
    <col min="15" max="15" width="16.44140625" hidden="1" customWidth="1"/>
    <col min="16" max="16" width="35.21875" hidden="1" customWidth="1"/>
    <col min="17" max="17" width="62.109375" hidden="1" customWidth="1"/>
    <col min="18" max="18" width="21.109375" hidden="1" customWidth="1"/>
    <col min="19" max="19" width="20" hidden="1" customWidth="1"/>
    <col min="20" max="20" width="12.44140625" hidden="1" customWidth="1"/>
    <col min="21" max="21" width="13.33203125" hidden="1" customWidth="1"/>
    <col min="22" max="22" width="26.33203125" hidden="1" customWidth="1"/>
    <col min="23" max="23" width="22.21875" hidden="1" customWidth="1"/>
    <col min="24" max="24" width="33.109375" hidden="1" customWidth="1"/>
    <col min="25" max="25" width="12.44140625" hidden="1" customWidth="1"/>
    <col min="26" max="26" width="16" hidden="1" customWidth="1"/>
    <col min="27" max="27" width="10.33203125" hidden="1" customWidth="1"/>
    <col min="28" max="28" width="34.88671875" hidden="1" customWidth="1"/>
    <col min="29" max="29" width="17.44140625" hidden="1" customWidth="1"/>
    <col min="30" max="30" width="21.109375" hidden="1" customWidth="1"/>
    <col min="31" max="31" width="16.21875" hidden="1" customWidth="1"/>
    <col min="32" max="32" width="12.44140625" hidden="1" customWidth="1"/>
    <col min="33" max="33" width="16.21875" hidden="1" customWidth="1"/>
    <col min="34" max="41" width="8.88671875" hidden="1" customWidth="1"/>
    <col min="42" max="42" width="8.88671875" customWidth="1"/>
    <col min="43" max="43" width="23.109375" bestFit="1" customWidth="1"/>
    <col min="44" max="44" width="19.44140625" bestFit="1" customWidth="1"/>
    <col min="45" max="45" width="24.6640625" bestFit="1" customWidth="1"/>
    <col min="47" max="47" width="21.21875" bestFit="1" customWidth="1"/>
    <col min="48" max="48" width="15.21875" bestFit="1" customWidth="1"/>
    <col min="50" max="50" width="24.5546875" bestFit="1" customWidth="1"/>
    <col min="51" max="51" width="18.5546875" bestFit="1" customWidth="1"/>
    <col min="52" max="52" width="33.33203125" bestFit="1" customWidth="1"/>
    <col min="54" max="54" width="37.6640625" customWidth="1"/>
    <col min="55" max="55" width="17.5546875" customWidth="1"/>
  </cols>
  <sheetData>
    <row r="1" spans="1:55" ht="21" x14ac:dyDescent="0.4">
      <c r="A1" s="12" t="s">
        <v>159</v>
      </c>
    </row>
    <row r="2" spans="1:55" ht="15.6" x14ac:dyDescent="0.3">
      <c r="A2" s="22" t="s">
        <v>160</v>
      </c>
      <c r="B2" s="1"/>
      <c r="C2" s="1"/>
      <c r="AP2">
        <v>0.08</v>
      </c>
      <c r="AQ2" s="37" t="s">
        <v>382</v>
      </c>
      <c r="AR2" s="37" t="s">
        <v>383</v>
      </c>
      <c r="AS2" s="37" t="s">
        <v>384</v>
      </c>
      <c r="AU2" s="37" t="s">
        <v>222</v>
      </c>
      <c r="AV2" s="37" t="s">
        <v>223</v>
      </c>
      <c r="AX2" s="37" t="s">
        <v>382</v>
      </c>
      <c r="AY2" s="37" t="s">
        <v>441</v>
      </c>
      <c r="AZ2" s="37" t="s">
        <v>442</v>
      </c>
      <c r="BB2" s="37" t="s">
        <v>220</v>
      </c>
      <c r="BC2" s="37" t="s">
        <v>221</v>
      </c>
    </row>
    <row r="3" spans="1:55" x14ac:dyDescent="0.3">
      <c r="A3" s="79" t="s">
        <v>167</v>
      </c>
      <c r="B3" s="86">
        <f>((0.5*'Historical Metrics'!B3) +(0.3*'Historical Metrics'!B6) +(0.2 *AP2))</f>
        <v>0.13423016049078162</v>
      </c>
      <c r="C3" s="18"/>
      <c r="D3" t="s">
        <v>218</v>
      </c>
      <c r="I3">
        <f>'Income Statement'!B4</f>
        <v>281724000000</v>
      </c>
      <c r="P3">
        <f>((0.5*'Historical Metrics'!B3) +(0.3*'Historical Metrics'!B6) +(0.2 *AP2))</f>
        <v>0.13423016049078162</v>
      </c>
      <c r="Q3" t="s">
        <v>219</v>
      </c>
      <c r="R3" s="43">
        <f>B3</f>
        <v>0.13423016049078162</v>
      </c>
      <c r="S3" s="43">
        <f>R3*(1-B11)</f>
        <v>0.11812254123188783</v>
      </c>
      <c r="T3" s="43">
        <f>S3*(1-B11)</f>
        <v>0.10394783628406129</v>
      </c>
      <c r="U3" s="43">
        <f>T3*(1-B11)</f>
        <v>9.1474095929973936E-2</v>
      </c>
      <c r="V3" s="43">
        <f>U3*(1-B11)</f>
        <v>8.0497204418377058E-2</v>
      </c>
      <c r="X3">
        <f>(1+R3)*'Income Statement'!$B$4</f>
        <v>319539857734.10498</v>
      </c>
      <c r="Y3">
        <f>(1+S3)*'Income Statement'!$B$4</f>
        <v>315001954806.01239</v>
      </c>
      <c r="Z3">
        <f>(1+T3)*'Income Statement'!$B$4</f>
        <v>311008600229.29089</v>
      </c>
      <c r="AA3">
        <f>(1+U3)*'Income Statement'!$B$4</f>
        <v>307494448201.776</v>
      </c>
      <c r="AB3">
        <f>(1+V3)*'Income Statement'!$B$4</f>
        <v>304401994417.56287</v>
      </c>
      <c r="AQ3" s="38" t="s">
        <v>385</v>
      </c>
      <c r="AR3" s="39" t="s">
        <v>386</v>
      </c>
      <c r="AS3" s="38" t="s">
        <v>387</v>
      </c>
      <c r="AU3" s="40" t="s">
        <v>226</v>
      </c>
      <c r="AV3" s="38" t="s">
        <v>227</v>
      </c>
      <c r="AX3" s="38" t="s">
        <v>443</v>
      </c>
      <c r="AY3" s="39" t="s">
        <v>444</v>
      </c>
      <c r="AZ3" s="38" t="s">
        <v>445</v>
      </c>
      <c r="BB3" s="39" t="s">
        <v>224</v>
      </c>
      <c r="BC3" s="38" t="s">
        <v>225</v>
      </c>
    </row>
    <row r="4" spans="1:55" ht="16.8" customHeight="1" x14ac:dyDescent="0.3">
      <c r="A4" s="1" t="s">
        <v>339</v>
      </c>
      <c r="B4" s="3">
        <f>B36-B37+B41</f>
        <v>70006666940.393005</v>
      </c>
      <c r="C4" s="18"/>
      <c r="D4" t="s">
        <v>340</v>
      </c>
      <c r="R4" s="43"/>
      <c r="S4" s="43"/>
      <c r="T4" s="43"/>
      <c r="U4" s="43"/>
      <c r="V4" s="43"/>
      <c r="AQ4" s="38" t="s">
        <v>388</v>
      </c>
      <c r="AR4" s="39" t="s">
        <v>389</v>
      </c>
      <c r="AS4" s="38" t="s">
        <v>390</v>
      </c>
      <c r="AU4" s="41">
        <v>0.4</v>
      </c>
      <c r="AV4" s="38" t="s">
        <v>230</v>
      </c>
      <c r="AX4" s="38" t="s">
        <v>446</v>
      </c>
      <c r="AY4" s="39" t="s">
        <v>447</v>
      </c>
      <c r="AZ4" s="38" t="s">
        <v>448</v>
      </c>
      <c r="BB4" s="39" t="s">
        <v>228</v>
      </c>
      <c r="BC4" s="38" t="s">
        <v>229</v>
      </c>
    </row>
    <row r="5" spans="1:55" x14ac:dyDescent="0.3">
      <c r="A5" s="1" t="s">
        <v>334</v>
      </c>
      <c r="B5" s="14">
        <f>B34/B29</f>
        <v>0.27494617879212391</v>
      </c>
      <c r="C5" s="1"/>
      <c r="D5" s="13" t="s">
        <v>292</v>
      </c>
      <c r="I5" s="43"/>
      <c r="AQ5" s="38" t="s">
        <v>391</v>
      </c>
      <c r="AR5" s="39" t="s">
        <v>392</v>
      </c>
      <c r="AS5" s="38" t="s">
        <v>393</v>
      </c>
      <c r="AU5" s="41">
        <v>0.16</v>
      </c>
      <c r="AV5" s="38" t="s">
        <v>233</v>
      </c>
      <c r="AX5" s="38" t="s">
        <v>449</v>
      </c>
      <c r="AY5" s="39" t="s">
        <v>450</v>
      </c>
      <c r="AZ5" s="38" t="s">
        <v>451</v>
      </c>
      <c r="BB5" s="39" t="s">
        <v>231</v>
      </c>
      <c r="BC5" s="38" t="s">
        <v>232</v>
      </c>
    </row>
    <row r="6" spans="1:55" x14ac:dyDescent="0.3">
      <c r="A6" s="8" t="s">
        <v>256</v>
      </c>
      <c r="B6" s="1"/>
      <c r="C6" s="1"/>
      <c r="AQ6" s="38" t="s">
        <v>394</v>
      </c>
      <c r="AR6" s="39" t="s">
        <v>395</v>
      </c>
      <c r="AS6" s="38" t="s">
        <v>396</v>
      </c>
      <c r="AU6" s="41">
        <v>0.18</v>
      </c>
      <c r="AV6" s="38" t="s">
        <v>233</v>
      </c>
      <c r="AX6" s="38" t="s">
        <v>452</v>
      </c>
      <c r="AY6" s="39" t="s">
        <v>453</v>
      </c>
      <c r="AZ6" s="38" t="s">
        <v>454</v>
      </c>
      <c r="BB6" s="39" t="s">
        <v>234</v>
      </c>
      <c r="BC6" s="38" t="s">
        <v>235</v>
      </c>
    </row>
    <row r="7" spans="1:55" x14ac:dyDescent="0.3">
      <c r="A7" s="1" t="s">
        <v>257</v>
      </c>
      <c r="B7" s="1">
        <f>(AVERAGE('Income Statement'!B4:F4)*(AVERAGE(N7:R7)))/365</f>
        <v>51263221545.50721</v>
      </c>
      <c r="C7" s="1" t="s">
        <v>266</v>
      </c>
      <c r="D7" t="s">
        <v>260</v>
      </c>
      <c r="G7" t="s">
        <v>263</v>
      </c>
      <c r="N7">
        <f>('Balance Sheet'!B8/'Income Statement'!B4)*365</f>
        <v>90.568517414206809</v>
      </c>
      <c r="O7">
        <f>('Balance Sheet'!C8/'Income Statement'!C4)*365</f>
        <v>84.762934375535451</v>
      </c>
      <c r="P7">
        <f>('Balance Sheet'!D8/'Income Statement'!D4)*365</f>
        <v>83.859660713021725</v>
      </c>
      <c r="Q7">
        <f>('Balance Sheet'!E8/'Income Statement'!E4)*365</f>
        <v>81.481136833610734</v>
      </c>
      <c r="R7">
        <f>('Balance Sheet'!F8/'Income Statement'!F4)*365</f>
        <v>82.609674694207797</v>
      </c>
      <c r="AQ7" s="38" t="s">
        <v>397</v>
      </c>
      <c r="AR7" s="39" t="s">
        <v>398</v>
      </c>
      <c r="AS7" s="38" t="s">
        <v>399</v>
      </c>
      <c r="AU7" s="41">
        <v>0.12</v>
      </c>
      <c r="AV7" s="38" t="s">
        <v>233</v>
      </c>
      <c r="AX7" s="38" t="s">
        <v>455</v>
      </c>
      <c r="AY7" s="39" t="s">
        <v>456</v>
      </c>
      <c r="AZ7" s="38" t="s">
        <v>457</v>
      </c>
      <c r="BB7" s="39" t="s">
        <v>236</v>
      </c>
      <c r="BC7" s="38" t="s">
        <v>237</v>
      </c>
    </row>
    <row r="8" spans="1:55" x14ac:dyDescent="0.3">
      <c r="A8" s="1" t="s">
        <v>258</v>
      </c>
      <c r="B8" s="1">
        <f>((AVERAGE('Income Statement'!B5:F5))*(AVERAGE(N8:R8)))/365</f>
        <v>2407670242.1425157</v>
      </c>
      <c r="C8" s="1"/>
      <c r="D8" t="s">
        <v>261</v>
      </c>
      <c r="G8" t="s">
        <v>264</v>
      </c>
      <c r="N8">
        <f>('Balance Sheet'!B9/'Income Statement'!B5)*365</f>
        <v>3.8980542177591055</v>
      </c>
      <c r="O8">
        <f>('Balance Sheet'!C9/'Income Statement'!C5)*365</f>
        <v>6.1363575033057183</v>
      </c>
      <c r="P8">
        <f>('Balance Sheet'!D9/'Income Statement'!D5)*365</f>
        <v>13.854516192703034</v>
      </c>
      <c r="Q8">
        <f>('Balance Sheet'!E9/'Income Statement'!E5)*365</f>
        <v>21.80095770151636</v>
      </c>
      <c r="R8">
        <f>('Balance Sheet'!F9/'Income Statement'!F5)*365</f>
        <v>18.420508500536069</v>
      </c>
      <c r="AQ8" s="38" t="s">
        <v>400</v>
      </c>
      <c r="AR8" s="39" t="s">
        <v>401</v>
      </c>
      <c r="AS8" s="38" t="s">
        <v>402</v>
      </c>
      <c r="AU8" s="41">
        <v>0.15</v>
      </c>
      <c r="AV8" s="38" t="s">
        <v>240</v>
      </c>
      <c r="AX8" s="38" t="s">
        <v>391</v>
      </c>
      <c r="AY8" s="39" t="s">
        <v>453</v>
      </c>
      <c r="AZ8" s="38" t="s">
        <v>458</v>
      </c>
      <c r="BB8" s="39" t="s">
        <v>238</v>
      </c>
      <c r="BC8" s="38" t="s">
        <v>239</v>
      </c>
    </row>
    <row r="9" spans="1:55" x14ac:dyDescent="0.3">
      <c r="A9" s="1" t="s">
        <v>259</v>
      </c>
      <c r="B9" s="1">
        <f>(AVERAGE('Income Statement'!B5:F5))*(AVERAGE(N9:R9))/365</f>
        <v>20297497820.505806</v>
      </c>
      <c r="C9" s="1"/>
      <c r="D9" t="s">
        <v>262</v>
      </c>
      <c r="G9" t="s">
        <v>265</v>
      </c>
      <c r="N9">
        <f>('Balance Sheet'!B13/'Income Statement'!B5)*365</f>
        <v>115.21285195432137</v>
      </c>
      <c r="O9">
        <f>('Balance Sheet'!C13/'Income Statement'!C5)*365</f>
        <v>108.32690179992984</v>
      </c>
      <c r="P9">
        <f>('Balance Sheet'!D13/'Income Statement'!D5)*365</f>
        <v>100.27898820278456</v>
      </c>
      <c r="Q9">
        <f>('Balance Sheet'!E13/'Income Statement'!E5)*365</f>
        <v>110.69433359936153</v>
      </c>
      <c r="R9">
        <f>('Balance Sheet'!F13/'Income Statement'!F5)*365</f>
        <v>105.95985219788636</v>
      </c>
      <c r="AQ9" s="38" t="s">
        <v>403</v>
      </c>
      <c r="AR9" s="39" t="s">
        <v>404</v>
      </c>
      <c r="AS9" s="38" t="s">
        <v>405</v>
      </c>
      <c r="AU9" s="41">
        <v>0.11</v>
      </c>
      <c r="AV9" s="38" t="s">
        <v>243</v>
      </c>
      <c r="AX9" s="38" t="s">
        <v>427</v>
      </c>
      <c r="AY9" s="39" t="s">
        <v>447</v>
      </c>
      <c r="AZ9" s="38" t="s">
        <v>459</v>
      </c>
      <c r="BB9" s="39" t="s">
        <v>241</v>
      </c>
      <c r="BC9" s="38" t="s">
        <v>242</v>
      </c>
    </row>
    <row r="10" spans="1:55" ht="15.6" x14ac:dyDescent="0.3">
      <c r="A10" s="22" t="s">
        <v>161</v>
      </c>
      <c r="B10" s="1"/>
      <c r="C10" s="1"/>
      <c r="AQ10" s="38" t="s">
        <v>406</v>
      </c>
      <c r="AR10" s="39" t="s">
        <v>407</v>
      </c>
      <c r="AS10" s="38" t="s">
        <v>408</v>
      </c>
      <c r="AU10" s="41">
        <v>0.1</v>
      </c>
      <c r="AV10" s="38" t="s">
        <v>246</v>
      </c>
      <c r="AX10" s="38" t="s">
        <v>460</v>
      </c>
      <c r="AY10" s="39" t="s">
        <v>453</v>
      </c>
      <c r="AZ10" s="38" t="s">
        <v>461</v>
      </c>
      <c r="BB10" s="39" t="s">
        <v>244</v>
      </c>
      <c r="BC10" s="38" t="s">
        <v>245</v>
      </c>
    </row>
    <row r="11" spans="1:55" x14ac:dyDescent="0.3">
      <c r="A11" s="1" t="s">
        <v>267</v>
      </c>
      <c r="B11" s="18">
        <f>IF(I11&gt;0.15,0.22,IF(I11&gt;0.08,0.16,IF(I11&gt;0.03,0.12,0.08)))</f>
        <v>0.12</v>
      </c>
      <c r="C11" s="1"/>
      <c r="D11" t="s">
        <v>337</v>
      </c>
      <c r="G11" t="s">
        <v>336</v>
      </c>
      <c r="H11" t="s">
        <v>338</v>
      </c>
      <c r="I11" s="53">
        <f>B3-AP2</f>
        <v>5.4230160490781623E-2</v>
      </c>
      <c r="J11" s="43"/>
      <c r="K11" s="43"/>
      <c r="L11" s="43"/>
      <c r="M11" s="43"/>
      <c r="N11" s="43"/>
      <c r="O11" s="43"/>
      <c r="AQ11" s="38" t="s">
        <v>409</v>
      </c>
      <c r="AR11" s="39" t="s">
        <v>410</v>
      </c>
      <c r="AS11" s="38" t="s">
        <v>411</v>
      </c>
      <c r="AU11" s="41">
        <v>0.08</v>
      </c>
      <c r="AV11" s="38" t="s">
        <v>246</v>
      </c>
      <c r="AX11" s="38" t="s">
        <v>462</v>
      </c>
      <c r="AY11" s="39" t="s">
        <v>463</v>
      </c>
      <c r="AZ11" s="38" t="s">
        <v>464</v>
      </c>
      <c r="BB11" s="39" t="s">
        <v>247</v>
      </c>
      <c r="BC11" s="38" t="s">
        <v>248</v>
      </c>
    </row>
    <row r="12" spans="1:55" ht="15.6" x14ac:dyDescent="0.3">
      <c r="A12" s="22" t="s">
        <v>162</v>
      </c>
      <c r="B12" s="1"/>
      <c r="C12" s="1"/>
      <c r="AQ12" s="38" t="s">
        <v>412</v>
      </c>
      <c r="AR12" s="39" t="s">
        <v>407</v>
      </c>
      <c r="AS12" s="38" t="s">
        <v>413</v>
      </c>
      <c r="AU12" s="41">
        <v>0.08</v>
      </c>
      <c r="AV12" s="38" t="s">
        <v>246</v>
      </c>
      <c r="AX12" s="38" t="s">
        <v>244</v>
      </c>
      <c r="AY12" s="39" t="s">
        <v>465</v>
      </c>
      <c r="AZ12" s="38" t="s">
        <v>466</v>
      </c>
      <c r="BB12" s="39" t="s">
        <v>249</v>
      </c>
      <c r="BC12" s="38" t="s">
        <v>250</v>
      </c>
    </row>
    <row r="13" spans="1:55" x14ac:dyDescent="0.3">
      <c r="A13" s="8" t="s">
        <v>271</v>
      </c>
      <c r="B13" s="1"/>
      <c r="C13" s="1"/>
      <c r="AQ13" s="38" t="s">
        <v>414</v>
      </c>
      <c r="AR13" s="39" t="s">
        <v>415</v>
      </c>
      <c r="AS13" s="38" t="s">
        <v>416</v>
      </c>
      <c r="AU13" s="41">
        <v>0.06</v>
      </c>
      <c r="AV13" s="38" t="s">
        <v>253</v>
      </c>
      <c r="AX13" s="38" t="s">
        <v>467</v>
      </c>
      <c r="AY13" s="39" t="s">
        <v>468</v>
      </c>
      <c r="AZ13" s="38" t="s">
        <v>469</v>
      </c>
      <c r="BB13" s="39" t="s">
        <v>251</v>
      </c>
      <c r="BC13" s="38" t="s">
        <v>252</v>
      </c>
    </row>
    <row r="14" spans="1:55" x14ac:dyDescent="0.3">
      <c r="A14" s="1" t="s">
        <v>272</v>
      </c>
      <c r="B14" s="18">
        <f>AVERAGE(E14:I14)</f>
        <v>0.43986467251036415</v>
      </c>
      <c r="C14" s="1"/>
      <c r="D14" t="s">
        <v>283</v>
      </c>
      <c r="E14">
        <f>'Income Statement'!B12/'Income Statement'!B4</f>
        <v>0.44728883588192697</v>
      </c>
      <c r="F14">
        <f>'Income Statement'!C12/'Income Statement'!C4</f>
        <v>0.45170160165142254</v>
      </c>
      <c r="G14">
        <f>'Income Statement'!D12/'Income Statement'!D4</f>
        <v>0.43073402071585304</v>
      </c>
      <c r="H14">
        <f>'Income Statement'!E12/'Income Statement'!E4</f>
        <v>0.43263731275533363</v>
      </c>
      <c r="I14">
        <f>'Income Statement'!F12/'Income Statement'!F4</f>
        <v>0.43696159154728476</v>
      </c>
      <c r="AQ14" s="38" t="s">
        <v>417</v>
      </c>
      <c r="AR14" s="39" t="s">
        <v>418</v>
      </c>
      <c r="AS14" s="38" t="s">
        <v>419</v>
      </c>
      <c r="AU14" s="41">
        <v>0.3</v>
      </c>
      <c r="AV14" s="38" t="s">
        <v>230</v>
      </c>
      <c r="AX14" s="38" t="s">
        <v>470</v>
      </c>
      <c r="AY14" s="39" t="s">
        <v>471</v>
      </c>
      <c r="AZ14" s="38" t="s">
        <v>472</v>
      </c>
      <c r="BB14" s="39" t="s">
        <v>254</v>
      </c>
      <c r="BC14" s="38" t="s">
        <v>255</v>
      </c>
    </row>
    <row r="15" spans="1:55" x14ac:dyDescent="0.3">
      <c r="A15" s="1" t="s">
        <v>273</v>
      </c>
      <c r="B15" s="18">
        <f>MAX(E14:I14)</f>
        <v>0.45170160165142254</v>
      </c>
      <c r="C15" s="1"/>
      <c r="AQ15" s="38" t="s">
        <v>420</v>
      </c>
      <c r="AR15" s="39" t="s">
        <v>415</v>
      </c>
      <c r="AS15" s="38" t="s">
        <v>421</v>
      </c>
      <c r="AX15" s="38" t="s">
        <v>417</v>
      </c>
      <c r="AY15" s="39" t="s">
        <v>473</v>
      </c>
      <c r="AZ15" s="38" t="s">
        <v>474</v>
      </c>
    </row>
    <row r="16" spans="1:55" x14ac:dyDescent="0.3">
      <c r="A16" s="1" t="s">
        <v>274</v>
      </c>
      <c r="B16" s="18">
        <f>AVERAGE('Historical Metrics'!I14:M14)</f>
        <v>0.69270384258121021</v>
      </c>
      <c r="C16" s="1"/>
      <c r="AQ16" s="38" t="s">
        <v>422</v>
      </c>
      <c r="AR16" s="39" t="s">
        <v>410</v>
      </c>
      <c r="AS16" s="38" t="s">
        <v>423</v>
      </c>
      <c r="AX16" s="38" t="s">
        <v>475</v>
      </c>
      <c r="AY16" s="39" t="s">
        <v>476</v>
      </c>
      <c r="AZ16" s="38" t="s">
        <v>477</v>
      </c>
    </row>
    <row r="17" spans="1:52" x14ac:dyDescent="0.3">
      <c r="A17" s="1" t="s">
        <v>275</v>
      </c>
      <c r="B17" s="18">
        <f>MAX('Historical Metrics'!I14:M14)</f>
        <v>0.70436259821154712</v>
      </c>
      <c r="C17" s="1"/>
      <c r="AQ17" s="38" t="s">
        <v>424</v>
      </c>
      <c r="AR17" s="39" t="s">
        <v>425</v>
      </c>
      <c r="AS17" s="38" t="s">
        <v>426</v>
      </c>
      <c r="AX17" s="38" t="s">
        <v>478</v>
      </c>
      <c r="AY17" s="39" t="s">
        <v>465</v>
      </c>
      <c r="AZ17" s="38" t="s">
        <v>479</v>
      </c>
    </row>
    <row r="18" spans="1:52" x14ac:dyDescent="0.3">
      <c r="A18" s="1" t="s">
        <v>168</v>
      </c>
      <c r="B18" s="18">
        <f>AVERAGE(E18:I18)</f>
        <v>0.16355918897945668</v>
      </c>
      <c r="C18" s="1"/>
      <c r="D18" t="s">
        <v>284</v>
      </c>
      <c r="E18" s="44">
        <f>'Income Statement'!B15/'Income Statement'!B14</f>
        <v>0.17629644009803683</v>
      </c>
      <c r="F18" s="44">
        <f>'Income Statement'!C15/'Income Statement'!C14</f>
        <v>0.18231326597827197</v>
      </c>
      <c r="G18" s="44">
        <f>'Income Statement'!D15/'Income Statement'!D14</f>
        <v>0.18978625253328257</v>
      </c>
      <c r="H18" s="44">
        <f>'Income Statement'!E15/'Income Statement'!E14</f>
        <v>0.13113383343685794</v>
      </c>
      <c r="I18" s="44">
        <f>'Income Statement'!F15/'Income Statement'!F14</f>
        <v>0.13826615285083402</v>
      </c>
      <c r="AQ18" s="38" t="s">
        <v>427</v>
      </c>
      <c r="AR18" s="39" t="s">
        <v>410</v>
      </c>
      <c r="AS18" s="38" t="s">
        <v>428</v>
      </c>
      <c r="AX18" s="38" t="s">
        <v>400</v>
      </c>
      <c r="AY18" s="39" t="s">
        <v>480</v>
      </c>
      <c r="AZ18" s="38" t="s">
        <v>481</v>
      </c>
    </row>
    <row r="19" spans="1:52" ht="15.6" x14ac:dyDescent="0.3">
      <c r="A19" s="22" t="s">
        <v>276</v>
      </c>
      <c r="B19" s="1"/>
      <c r="C19" s="1"/>
      <c r="AQ19" s="38" t="s">
        <v>429</v>
      </c>
      <c r="AR19" s="39" t="s">
        <v>401</v>
      </c>
      <c r="AS19" s="38" t="s">
        <v>430</v>
      </c>
      <c r="AX19" s="38" t="s">
        <v>482</v>
      </c>
      <c r="AY19" s="39" t="s">
        <v>456</v>
      </c>
      <c r="AZ19" s="38" t="s">
        <v>483</v>
      </c>
    </row>
    <row r="20" spans="1:52" x14ac:dyDescent="0.3">
      <c r="A20" s="1" t="s">
        <v>277</v>
      </c>
      <c r="B20" s="18">
        <f>(0.5*'Historical Metrics'!I15)+(0.3*AVERAGE('Historical Metrics'!I15:K15))+(0.2*(AVERAGE('Historical Metrics'!I15:M15)))</f>
        <v>0.44458979826795658</v>
      </c>
      <c r="C20" s="18"/>
      <c r="D20" t="s">
        <v>380</v>
      </c>
      <c r="H20" t="s">
        <v>381</v>
      </c>
      <c r="J20" s="44"/>
      <c r="AX20" s="38" t="s">
        <v>484</v>
      </c>
      <c r="AY20" s="39" t="s">
        <v>485</v>
      </c>
      <c r="AZ20" s="38" t="s">
        <v>486</v>
      </c>
    </row>
    <row r="21" spans="1:52" x14ac:dyDescent="0.3">
      <c r="A21" s="1" t="s">
        <v>278</v>
      </c>
      <c r="B21" s="18">
        <f>B16</f>
        <v>0.69270384258121021</v>
      </c>
      <c r="C21" s="18"/>
      <c r="D21" t="s">
        <v>282</v>
      </c>
    </row>
    <row r="22" spans="1:52" ht="15.6" x14ac:dyDescent="0.3">
      <c r="A22" s="22" t="s">
        <v>279</v>
      </c>
      <c r="B22" s="1"/>
      <c r="C22" s="1"/>
    </row>
    <row r="23" spans="1:52" x14ac:dyDescent="0.3">
      <c r="A23" s="1" t="s">
        <v>280</v>
      </c>
      <c r="B23" s="6">
        <f>U47</f>
        <v>465157549106.07538</v>
      </c>
      <c r="C23" s="1"/>
      <c r="D23" s="1" t="s">
        <v>285</v>
      </c>
      <c r="G23">
        <f>Q47</f>
        <v>319539857734.10498</v>
      </c>
      <c r="H23">
        <f>R47</f>
        <v>357284717754.53339</v>
      </c>
      <c r="I23">
        <f>S47</f>
        <v>394423691102.4787</v>
      </c>
      <c r="J23">
        <f>T47</f>
        <v>430503241659.44128</v>
      </c>
      <c r="K23">
        <f>U47</f>
        <v>465157549106.07538</v>
      </c>
    </row>
    <row r="24" spans="1:52" x14ac:dyDescent="0.3">
      <c r="A24" s="1" t="s">
        <v>270</v>
      </c>
      <c r="B24" s="3">
        <f>B23*B21</f>
        <v>322216421671.4364</v>
      </c>
      <c r="C24" s="14"/>
      <c r="D24" t="s">
        <v>286</v>
      </c>
    </row>
    <row r="25" spans="1:52" x14ac:dyDescent="0.3">
      <c r="A25" s="1" t="s">
        <v>268</v>
      </c>
      <c r="B25" s="3">
        <f>B23*(B20)</f>
        <v>206804300919.88715</v>
      </c>
      <c r="C25" s="1"/>
      <c r="D25" t="s">
        <v>287</v>
      </c>
      <c r="G25">
        <f>G23*B20</f>
        <v>142064160888.57727</v>
      </c>
      <c r="H25">
        <f>H23*B20</f>
        <v>158845140590.71179</v>
      </c>
      <c r="I25">
        <f>I23*B20</f>
        <v>175356749259.35382</v>
      </c>
      <c r="J25">
        <f>J23*B20</f>
        <v>191397349363.07236</v>
      </c>
      <c r="K25">
        <f>K23*B20</f>
        <v>206804300919.88715</v>
      </c>
    </row>
    <row r="26" spans="1:52" x14ac:dyDescent="0.3">
      <c r="A26" s="1" t="s">
        <v>269</v>
      </c>
      <c r="B26" s="3">
        <f>B25*(1-B18)</f>
        <v>172979557183.96692</v>
      </c>
      <c r="C26" s="1"/>
      <c r="D26" t="s">
        <v>288</v>
      </c>
      <c r="H26">
        <f>(X3*$B$20)*(1-$B$18)</f>
        <v>118828261950.59453</v>
      </c>
      <c r="I26">
        <f>(Y3*$B$20)*(1-$B$18)</f>
        <v>117140738141.61023</v>
      </c>
      <c r="J26">
        <f>(Z3*$B$20)*(1-$B$18)</f>
        <v>115655717189.70407</v>
      </c>
      <c r="K26">
        <f>(AA3*$B$20)*(1-$B$18)</f>
        <v>114348898752.02663</v>
      </c>
      <c r="N26">
        <f>(AB3*$B$20)*(1-$B$18)</f>
        <v>113198898526.87047</v>
      </c>
    </row>
    <row r="27" spans="1:52" x14ac:dyDescent="0.3">
      <c r="A27" s="1" t="s">
        <v>281</v>
      </c>
      <c r="B27" s="26">
        <f>B26/B23</f>
        <v>0.37187305143470939</v>
      </c>
      <c r="C27" s="23"/>
      <c r="D27" t="s">
        <v>289</v>
      </c>
    </row>
    <row r="28" spans="1:52" ht="15.6" x14ac:dyDescent="0.3">
      <c r="A28" s="22" t="s">
        <v>163</v>
      </c>
      <c r="B28" s="14"/>
      <c r="C28" s="1"/>
    </row>
    <row r="29" spans="1:52" x14ac:dyDescent="0.3">
      <c r="A29" s="1" t="s">
        <v>290</v>
      </c>
      <c r="B29" s="3">
        <f>B23/AH29</f>
        <v>629139702700.6875</v>
      </c>
      <c r="C29" s="1"/>
      <c r="D29" t="s">
        <v>294</v>
      </c>
      <c r="E29" t="s">
        <v>349</v>
      </c>
      <c r="G29" t="s">
        <v>350</v>
      </c>
      <c r="H29" s="56">
        <f>'Balance Sheet'!B21+'Balance Sheet'!B19-'Balance Sheet'!B4</f>
        <v>392683000000</v>
      </c>
      <c r="I29" s="56">
        <f>'Balance Sheet'!C21+'Balance Sheet'!C19-'Balance Sheet'!C4</f>
        <v>321978000000</v>
      </c>
      <c r="J29" s="56">
        <f>'Balance Sheet'!D21+'Balance Sheet'!D19-'Balance Sheet'!D4</f>
        <v>257950000000</v>
      </c>
      <c r="K29" s="56">
        <f>'Balance Sheet'!E21+'Balance Sheet'!E19-'Balance Sheet'!E4</f>
        <v>250320000000</v>
      </c>
      <c r="L29" s="56">
        <f>'Balance Sheet'!F21+'Balance Sheet'!F19-'Balance Sheet'!F4</f>
        <v>249780000000</v>
      </c>
      <c r="N29">
        <f>'Income Statement'!B4/'Balance Sheet'!B12</f>
        <v>0.45512541942446161</v>
      </c>
      <c r="O29">
        <f>'Income Statement'!C4/'Balance Sheet'!C12</f>
        <v>0.47860153896318164</v>
      </c>
      <c r="P29">
        <f>'Income Statement'!D4/'Balance Sheet'!D12</f>
        <v>0.51438676039380937</v>
      </c>
      <c r="Q29">
        <f>'Income Statement'!E4/'Balance Sheet'!E12</f>
        <v>0.54344370134853637</v>
      </c>
      <c r="R29">
        <f>'Income Statement'!F4/'Balance Sheet'!F12</f>
        <v>0.50359069923512267</v>
      </c>
      <c r="S29" s="42">
        <f>((0.5*N29)+(0.3*AVERAGE(N29:P29))+(0.2*AVERAGE(N29:R29)))</f>
        <v>0.47218000636498059</v>
      </c>
      <c r="V29" s="52">
        <f>G23/R29</f>
        <v>634522953302.03125</v>
      </c>
      <c r="W29" s="52">
        <f>H23/Q29</f>
        <v>657445687323.16516</v>
      </c>
      <c r="X29" s="52">
        <f>I23/P29</f>
        <v>766784298259.3717</v>
      </c>
      <c r="Y29" s="52">
        <f>J23/O29</f>
        <v>899502418216.33484</v>
      </c>
      <c r="Z29" s="52">
        <f>K23/N29</f>
        <v>1022042560695.2477</v>
      </c>
      <c r="AB29" t="s">
        <v>351</v>
      </c>
      <c r="AC29" s="50">
        <f>'Income Statement'!B4/'Forward Estimates'!H29</f>
        <v>0.71743365513658597</v>
      </c>
      <c r="AD29" s="50">
        <f>'Income Statement'!C4/'Forward Estimates'!I29</f>
        <v>0.76130046152221575</v>
      </c>
      <c r="AE29" s="50">
        <f>'Income Statement'!D4/'Forward Estimates'!J29</f>
        <v>0.82153518123667379</v>
      </c>
      <c r="AF29" s="50">
        <f>'Income Statement'!E4/'Forward Estimates'!K29</f>
        <v>0.79206615532118885</v>
      </c>
      <c r="AG29" s="50">
        <f>'Income Statement'!F4/'Forward Estimates'!L29</f>
        <v>0.67294419088798141</v>
      </c>
      <c r="AH29" s="57">
        <f>(0.5*AC29) + (0.3*AVERAGE(AC29:AE29)) + (0.2*AVERAGE(AC29:AG29))</f>
        <v>0.73935494312202632</v>
      </c>
      <c r="AI29" t="s">
        <v>352</v>
      </c>
    </row>
    <row r="30" spans="1:52" x14ac:dyDescent="0.3">
      <c r="A30" s="1" t="s">
        <v>194</v>
      </c>
      <c r="B30" s="58">
        <f>B34/B29</f>
        <v>0.27494617879212391</v>
      </c>
      <c r="C30" s="13"/>
      <c r="D30" t="s">
        <v>292</v>
      </c>
      <c r="AB30" t="s">
        <v>571</v>
      </c>
      <c r="AC30" s="92">
        <f>'Valuation &amp; Return'!C19/$AH$29</f>
        <v>432187355622.19232</v>
      </c>
      <c r="AD30" s="93">
        <f>'Valuation &amp; Return'!D19/$AH$29</f>
        <v>483238424356.57538</v>
      </c>
      <c r="AE30" s="92">
        <f>'Valuation &amp; Return'!E19/$AH$29</f>
        <v>533470012977.76044</v>
      </c>
      <c r="AF30" s="93">
        <f>'Valuation &amp; Return'!F19/$AH$29</f>
        <v>582268700120.65259</v>
      </c>
      <c r="AG30" s="92">
        <f>'Valuation &amp; Return'!G19/$AH$29</f>
        <v>629139702700.6875</v>
      </c>
    </row>
    <row r="31" spans="1:52" x14ac:dyDescent="0.3">
      <c r="A31" s="8" t="s">
        <v>353</v>
      </c>
      <c r="B31" s="14"/>
      <c r="C31" s="13"/>
    </row>
    <row r="32" spans="1:52" x14ac:dyDescent="0.3">
      <c r="A32" s="1" t="s">
        <v>344</v>
      </c>
      <c r="B32" s="18">
        <f>B4/B34</f>
        <v>0.40471063795093221</v>
      </c>
      <c r="C32" s="18"/>
      <c r="D32" t="s">
        <v>345</v>
      </c>
      <c r="R32" s="43"/>
      <c r="S32" s="43"/>
      <c r="T32" s="43"/>
      <c r="U32" s="43"/>
      <c r="V32" s="43"/>
    </row>
    <row r="33" spans="1:44" x14ac:dyDescent="0.3">
      <c r="A33" s="1" t="s">
        <v>354</v>
      </c>
      <c r="B33" s="18">
        <f>B5*B32</f>
        <v>0.11127364342113154</v>
      </c>
      <c r="C33" s="13"/>
      <c r="D33" t="s">
        <v>348</v>
      </c>
    </row>
    <row r="34" spans="1:44" x14ac:dyDescent="0.3">
      <c r="A34" s="1" t="s">
        <v>291</v>
      </c>
      <c r="B34" s="3">
        <f>B25*(1-B18)</f>
        <v>172979557183.96692</v>
      </c>
      <c r="C34" s="1"/>
      <c r="D34" t="s">
        <v>293</v>
      </c>
      <c r="G34">
        <f>G25*(1-B18)</f>
        <v>118828261950.59453</v>
      </c>
      <c r="H34">
        <f>H25*(1-B18)</f>
        <v>132864558222.3672</v>
      </c>
      <c r="I34">
        <f>I25*(1-B18)</f>
        <v>146675541568.41998</v>
      </c>
      <c r="J34">
        <f>J25*(1-B18)</f>
        <v>160092554128.43051</v>
      </c>
      <c r="K34">
        <f>K25*(1-B18)</f>
        <v>172979557183.96692</v>
      </c>
    </row>
    <row r="35" spans="1:44" ht="15.6" x14ac:dyDescent="0.3">
      <c r="A35" s="22" t="s">
        <v>295</v>
      </c>
      <c r="B35" s="14"/>
      <c r="C35" s="1"/>
    </row>
    <row r="36" spans="1:44" x14ac:dyDescent="0.3">
      <c r="A36" s="79" t="s">
        <v>297</v>
      </c>
      <c r="B36" s="87">
        <f>B23*ABS(AQ36)</f>
        <v>64801052617.707909</v>
      </c>
      <c r="C36" s="1" t="s">
        <v>106</v>
      </c>
      <c r="D36" t="s">
        <v>296</v>
      </c>
      <c r="H36" t="s">
        <v>300</v>
      </c>
      <c r="I36">
        <f>TRIMMEAN('Cash Flow Statement'!B12:F12,0.2)</f>
        <v>-36328600000</v>
      </c>
      <c r="J36">
        <f>TRIMMEAN('Income Statement'!B4:F4,0.2)</f>
        <v>221023800000</v>
      </c>
      <c r="K36" s="43">
        <f>I36/J36</f>
        <v>-0.16436510457244877</v>
      </c>
      <c r="N36" s="43"/>
      <c r="P36" s="43">
        <f>'Cash Flow Statement'!B12/'Income Statement'!B4</f>
        <v>-0.22912850875324786</v>
      </c>
      <c r="Q36" s="43">
        <f>'Cash Flow Statement'!C12/'Income Statement'!C4</f>
        <v>-0.18144842160230415</v>
      </c>
      <c r="R36" s="43">
        <f>'Cash Flow Statement'!D12/'Income Statement'!D4</f>
        <v>-0.13263336715192411</v>
      </c>
      <c r="S36" s="43">
        <f>'Cash Flow Statement'!E12/'Income Statement'!E4</f>
        <v>-0.12047208352246935</v>
      </c>
      <c r="T36" s="43">
        <f>'Cash Flow Statement'!F12/'Income Statement'!F4</f>
        <v>-0.12268573604302509</v>
      </c>
      <c r="AQ36" s="65">
        <f>AVERAGE(Q36:T36)</f>
        <v>-0.13930990207993069</v>
      </c>
      <c r="AR36" s="66"/>
    </row>
    <row r="37" spans="1:44" x14ac:dyDescent="0.3">
      <c r="A37" s="1" t="s">
        <v>298</v>
      </c>
      <c r="B37" s="18">
        <f>'Cash Flow Statement'!B5/'Balance Sheet'!B11</f>
        <v>0.14862765406525116</v>
      </c>
      <c r="C37" s="13" t="s">
        <v>106</v>
      </c>
      <c r="D37" t="s">
        <v>301</v>
      </c>
    </row>
    <row r="38" spans="1:44" x14ac:dyDescent="0.3">
      <c r="A38" s="1" t="s">
        <v>302</v>
      </c>
      <c r="B38" s="14">
        <f>MEDIAN(N7:R7)</f>
        <v>83.859660713021725</v>
      </c>
      <c r="C38" s="13"/>
    </row>
    <row r="39" spans="1:44" x14ac:dyDescent="0.3">
      <c r="A39" s="1" t="s">
        <v>303</v>
      </c>
      <c r="B39" s="14">
        <f>MEDIAN(N8:R8)</f>
        <v>13.854516192703034</v>
      </c>
      <c r="C39" s="13"/>
    </row>
    <row r="40" spans="1:44" x14ac:dyDescent="0.3">
      <c r="A40" s="1" t="s">
        <v>304</v>
      </c>
      <c r="B40" s="14">
        <f>MEDIAN(N9:R9)</f>
        <v>108.32690179992984</v>
      </c>
      <c r="C40" s="13"/>
    </row>
    <row r="41" spans="1:44" x14ac:dyDescent="0.3">
      <c r="A41" s="1" t="s">
        <v>169</v>
      </c>
      <c r="B41" s="3">
        <f>((U41+AA41)-AG41)-((T41+Z41)-AF41)</f>
        <v>5205614322.833725</v>
      </c>
      <c r="C41" s="1"/>
      <c r="D41" t="s">
        <v>342</v>
      </c>
      <c r="F41" t="s">
        <v>299</v>
      </c>
      <c r="H41" s="5" t="s">
        <v>341</v>
      </c>
      <c r="I41">
        <f>Q47*(1-$B$21)</f>
        <v>98193370423.837219</v>
      </c>
      <c r="J41">
        <f>R47*(1-$B$21)</f>
        <v>109792220870.42497</v>
      </c>
      <c r="K41">
        <f>S47*(1-$B$21)</f>
        <v>121204884670.72742</v>
      </c>
      <c r="N41">
        <f>T47*(1-$B$21)</f>
        <v>132291991918.27898</v>
      </c>
      <c r="O41">
        <f>U47*(1-$B$21)</f>
        <v>142941127434.63898</v>
      </c>
      <c r="P41" s="42" t="s">
        <v>305</v>
      </c>
      <c r="Q41">
        <f>(Q47*$B$38)/365</f>
        <v>73415079599.641846</v>
      </c>
      <c r="R41">
        <f>(R47*$B$38)/365</f>
        <v>82087055366.692871</v>
      </c>
      <c r="S41">
        <f>(S47*$B$38)/365</f>
        <v>90619827158.990555</v>
      </c>
      <c r="T41">
        <f>(T47*$B$38)/365</f>
        <v>98909193921.689697</v>
      </c>
      <c r="U41">
        <f>(U47*$B$38)/365</f>
        <v>106871107523.66089</v>
      </c>
      <c r="V41" s="42" t="s">
        <v>306</v>
      </c>
      <c r="W41">
        <f>(I41*$B$39)/365</f>
        <v>3727182576.8579173</v>
      </c>
      <c r="X41">
        <f>(J41*$B$39)/365</f>
        <v>4167446854.4715915</v>
      </c>
      <c r="Y41">
        <f>(K41*$B$39)/365</f>
        <v>4600643937.822731</v>
      </c>
      <c r="Z41">
        <f t="shared" ref="Z41:AA41" si="0">(N41*$B$39)/365</f>
        <v>5021483682.7307816</v>
      </c>
      <c r="AA41">
        <f t="shared" si="0"/>
        <v>5425699081.2231054</v>
      </c>
      <c r="AB41" s="42" t="s">
        <v>307</v>
      </c>
      <c r="AC41">
        <f>($B$40*I41)/365</f>
        <v>29142420809.060684</v>
      </c>
      <c r="AD41">
        <f>(J41*$B$40)/365</f>
        <v>32584797612.675983</v>
      </c>
      <c r="AE41">
        <f>($B$40*K41)/365</f>
        <v>35971916820.2677</v>
      </c>
      <c r="AF41">
        <f>(N41*$B$40)/365</f>
        <v>39262415390.269913</v>
      </c>
      <c r="AG41">
        <f>($B$40*O41)/365</f>
        <v>42422930067.899712</v>
      </c>
    </row>
    <row r="42" spans="1:44" ht="15.6" x14ac:dyDescent="0.3">
      <c r="A42" s="22" t="s">
        <v>164</v>
      </c>
      <c r="B42" s="14"/>
      <c r="C42" s="1"/>
    </row>
    <row r="43" spans="1:44" x14ac:dyDescent="0.3">
      <c r="A43" s="1" t="s">
        <v>170</v>
      </c>
      <c r="B43" s="3">
        <f>(B26+B37)-B41</f>
        <v>167773942861.2818</v>
      </c>
      <c r="C43" s="44"/>
      <c r="D43" s="1" t="s">
        <v>308</v>
      </c>
    </row>
    <row r="44" spans="1:44" x14ac:dyDescent="0.3">
      <c r="A44" s="1" t="s">
        <v>323</v>
      </c>
      <c r="B44" s="3">
        <f>B34-B4</f>
        <v>102972890243.57391</v>
      </c>
      <c r="C44" s="44"/>
      <c r="D44" s="1" t="s">
        <v>355</v>
      </c>
      <c r="F44" t="s">
        <v>369</v>
      </c>
    </row>
    <row r="45" spans="1:44" ht="15.6" x14ac:dyDescent="0.3">
      <c r="A45" s="22" t="s">
        <v>165</v>
      </c>
      <c r="B45" s="14"/>
      <c r="C45" s="13"/>
    </row>
    <row r="46" spans="1:44" x14ac:dyDescent="0.3">
      <c r="A46" s="8" t="s">
        <v>171</v>
      </c>
      <c r="B46" s="14"/>
      <c r="C46" s="13"/>
    </row>
    <row r="47" spans="1:44" x14ac:dyDescent="0.3">
      <c r="A47" s="1" t="s">
        <v>172</v>
      </c>
      <c r="B47" s="18">
        <f>B5*B32</f>
        <v>0.11127364342113154</v>
      </c>
      <c r="C47" s="13"/>
      <c r="D47" t="s">
        <v>348</v>
      </c>
      <c r="H47" t="s">
        <v>329</v>
      </c>
      <c r="I47" s="47">
        <f>B3*(1-B11)</f>
        <v>0.11812254123188783</v>
      </c>
      <c r="J47" s="47">
        <f>B3*(1-B11)^2</f>
        <v>0.10394783628406129</v>
      </c>
      <c r="K47" s="47">
        <f>B3*(1-B11)^3</f>
        <v>9.1474095929973936E-2</v>
      </c>
      <c r="L47" s="47"/>
      <c r="M47" s="47"/>
      <c r="N47" s="47">
        <f>B3*(1-B11)^4</f>
        <v>8.0497204418377058E-2</v>
      </c>
      <c r="P47" t="s">
        <v>330</v>
      </c>
      <c r="Q47" s="49">
        <f>'Income Statement'!B4*(1+B3)</f>
        <v>319539857734.10498</v>
      </c>
      <c r="R47" s="49">
        <f>Q47*(1+I47)</f>
        <v>357284717754.53339</v>
      </c>
      <c r="S47" s="49">
        <f>R47*(1+J47)</f>
        <v>394423691102.4787</v>
      </c>
      <c r="T47" s="49">
        <f>S47*(1+K47)</f>
        <v>430503241659.44128</v>
      </c>
      <c r="U47" s="49">
        <f>T47*(1+N47)</f>
        <v>465157549106.07538</v>
      </c>
    </row>
    <row r="48" spans="1:44" x14ac:dyDescent="0.3">
      <c r="A48" s="1" t="s">
        <v>173</v>
      </c>
      <c r="B48" s="18">
        <f>((U48/L49)/('Income Statement'!B16/'Income Statement'!B20))-1</f>
        <v>0.73121576950799838</v>
      </c>
      <c r="C48" s="13"/>
      <c r="D48" t="s">
        <v>343</v>
      </c>
      <c r="H48" t="s">
        <v>331</v>
      </c>
      <c r="I48" s="49">
        <f>Q47*B20</f>
        <v>142064160888.57727</v>
      </c>
      <c r="J48" s="49">
        <f>R47*B20</f>
        <v>158845140590.71179</v>
      </c>
      <c r="K48" s="49">
        <f>S47*B20</f>
        <v>175356749259.35382</v>
      </c>
      <c r="L48" s="49"/>
      <c r="M48" s="49"/>
      <c r="N48" s="49">
        <f>T47*B20</f>
        <v>191397349363.07236</v>
      </c>
      <c r="O48" s="49">
        <f>U47*B20</f>
        <v>206804300919.88715</v>
      </c>
      <c r="P48" t="s">
        <v>332</v>
      </c>
      <c r="Q48" s="50">
        <f>I48*(1-B18)</f>
        <v>118828261950.59453</v>
      </c>
      <c r="R48" s="50">
        <f>J48*(1-B18)</f>
        <v>132864558222.3672</v>
      </c>
      <c r="S48" s="50">
        <f>K48*(1-B18)</f>
        <v>146675541568.41998</v>
      </c>
      <c r="T48" s="50">
        <f>N48*(1-B18)</f>
        <v>160092554128.43051</v>
      </c>
      <c r="U48" s="50">
        <f>O48*(1-B18)</f>
        <v>172979557183.96692</v>
      </c>
      <c r="V48" t="s">
        <v>333</v>
      </c>
      <c r="W48" s="51">
        <f>Q48/'Income Statement'!B20</f>
        <v>15.918052505103084</v>
      </c>
      <c r="X48" s="51">
        <f>R48/'Income Statement'!C20</f>
        <v>17.788801475748723</v>
      </c>
      <c r="Y48" s="51">
        <f>S48/'Income Statement'!D20</f>
        <v>19.630024299842074</v>
      </c>
      <c r="Z48" s="51">
        <f>T48/'Income Statement'!E20</f>
        <v>21.232434234539856</v>
      </c>
      <c r="AA48" s="51">
        <f>U48/'Income Statement'!F20</f>
        <v>22.736534855936767</v>
      </c>
    </row>
    <row r="49" spans="1:17" x14ac:dyDescent="0.3">
      <c r="A49" s="8" t="s">
        <v>309</v>
      </c>
      <c r="B49" s="14"/>
      <c r="C49" s="13"/>
      <c r="D49" t="s">
        <v>575</v>
      </c>
      <c r="F49" s="94">
        <f>('Income Statement'!B20/'Income Statement'!F20)^(1/5)-1</f>
        <v>-3.7877870186424634E-3</v>
      </c>
      <c r="G49" t="s">
        <v>574</v>
      </c>
      <c r="H49" s="59">
        <f>(1+F49)*'Income Statement'!B20</f>
        <v>7436724169.9058342</v>
      </c>
      <c r="I49" s="59">
        <f>(1+F49)*H49</f>
        <v>7408555442.6338406</v>
      </c>
      <c r="J49" s="59">
        <f>I49*(1+F49)</f>
        <v>7380493412.501339</v>
      </c>
      <c r="K49" s="59">
        <f>J49*(1+F49)</f>
        <v>7352537675.3622904</v>
      </c>
      <c r="L49" s="59">
        <f>K49*(1+F49)</f>
        <v>7324687828.6014738</v>
      </c>
    </row>
    <row r="50" spans="1:17" x14ac:dyDescent="0.3">
      <c r="A50" s="1" t="s">
        <v>310</v>
      </c>
      <c r="B50" s="18">
        <f>D50/E50</f>
        <v>0.27494617879212391</v>
      </c>
      <c r="D50">
        <f>AVERAGE(G34:K34)</f>
        <v>146288094610.75583</v>
      </c>
      <c r="E50" s="44">
        <f>AVERAGE(AC30:AG30)</f>
        <v>532060839155.57361</v>
      </c>
      <c r="G50" t="s">
        <v>570</v>
      </c>
    </row>
    <row r="51" spans="1:17" x14ac:dyDescent="0.3">
      <c r="A51" s="1" t="s">
        <v>311</v>
      </c>
      <c r="B51" s="18">
        <f>AVERAGE(F51:J51)</f>
        <v>0.37187305143470939</v>
      </c>
      <c r="D51" t="s">
        <v>335</v>
      </c>
      <c r="F51">
        <f>Q48/Q47</f>
        <v>0.37187305143470933</v>
      </c>
      <c r="G51">
        <f>R48/R47</f>
        <v>0.37187305143470933</v>
      </c>
      <c r="H51">
        <f>S48/S47</f>
        <v>0.37187305143470939</v>
      </c>
      <c r="I51">
        <f>T48/T47</f>
        <v>0.37187305143470933</v>
      </c>
      <c r="J51">
        <f>U48/U47</f>
        <v>0.37187305143470939</v>
      </c>
    </row>
    <row r="52" spans="1:17" x14ac:dyDescent="0.3">
      <c r="A52" s="1" t="s">
        <v>174</v>
      </c>
      <c r="B52" s="18">
        <f>B44/B23</f>
        <v>0.22137207155180832</v>
      </c>
      <c r="D52" s="1" t="s">
        <v>316</v>
      </c>
    </row>
    <row r="53" spans="1:17" x14ac:dyDescent="0.3">
      <c r="A53" s="8" t="s">
        <v>312</v>
      </c>
      <c r="B53" s="14"/>
      <c r="C53" s="1"/>
    </row>
    <row r="54" spans="1:17" x14ac:dyDescent="0.3">
      <c r="A54" s="1" t="s">
        <v>313</v>
      </c>
      <c r="B54" s="54">
        <f>COUNTIF(E54:I54,"&gt;0")</f>
        <v>5</v>
      </c>
      <c r="D54" s="25" t="s">
        <v>317</v>
      </c>
      <c r="E54">
        <f>X3*$B$52</f>
        <v>70737200249.968933</v>
      </c>
      <c r="F54">
        <f>Y3*$B$52</f>
        <v>69732635278.276062</v>
      </c>
      <c r="G54">
        <f t="shared" ref="G54:I54" si="1">Z3*$B$52</f>
        <v>68848618103.18634</v>
      </c>
      <c r="H54">
        <f t="shared" si="1"/>
        <v>68070682989.107376</v>
      </c>
      <c r="I54">
        <f t="shared" si="1"/>
        <v>67386100088.717888</v>
      </c>
    </row>
    <row r="55" spans="1:17" x14ac:dyDescent="0.3">
      <c r="A55" s="1" t="s">
        <v>314</v>
      </c>
      <c r="B55" s="24">
        <f>(G55/'Balance Sheet'!B22)^(1/5)-1</f>
        <v>-0.3934365919262528</v>
      </c>
      <c r="D55" t="s">
        <v>346</v>
      </c>
      <c r="E55" s="46"/>
      <c r="F55" s="55" t="s">
        <v>347</v>
      </c>
      <c r="G55" s="44">
        <f>'Balance Sheet'!B22+(B4-B34)</f>
        <v>9211109756.4260864</v>
      </c>
      <c r="H55" s="46"/>
      <c r="K55" s="45"/>
      <c r="L55" s="45"/>
      <c r="M55" s="45"/>
      <c r="N55" s="45"/>
      <c r="O55" s="45"/>
      <c r="P55" s="45"/>
      <c r="Q55" s="45"/>
    </row>
    <row r="56" spans="1:17" x14ac:dyDescent="0.3">
      <c r="A56" s="1" t="s">
        <v>87</v>
      </c>
      <c r="B56" s="44">
        <f>B25/J56</f>
        <v>86.71039870854807</v>
      </c>
      <c r="D56" t="s">
        <v>319</v>
      </c>
      <c r="E56" t="s">
        <v>318</v>
      </c>
      <c r="H56" s="53">
        <f>'Income Statement'!B10/'Balance Sheet'!B21</f>
        <v>3.0020391209123178E-2</v>
      </c>
      <c r="I56" t="s">
        <v>320</v>
      </c>
      <c r="J56" s="48">
        <f>H56*'Balance Sheet'!B21</f>
        <v>2385000000</v>
      </c>
    </row>
    <row r="57" spans="1:17" ht="15.6" x14ac:dyDescent="0.3">
      <c r="A57" s="22" t="s">
        <v>315</v>
      </c>
    </row>
    <row r="58" spans="1:17" x14ac:dyDescent="0.3">
      <c r="A58" s="1" t="s">
        <v>175</v>
      </c>
      <c r="B58" s="44">
        <f>Dashboard!B6/H58</f>
        <v>16.171487577661587</v>
      </c>
      <c r="D58" t="s">
        <v>321</v>
      </c>
      <c r="E58" t="s">
        <v>324</v>
      </c>
      <c r="H58" s="44">
        <f>'Income Statement'!B18*(1 +B48)</f>
        <v>23.613783096089097</v>
      </c>
    </row>
    <row r="59" spans="1:17" x14ac:dyDescent="0.3">
      <c r="A59" s="1" t="s">
        <v>176</v>
      </c>
      <c r="B59" s="43">
        <f>B44/Dashboard!B7</f>
        <v>3.6313997206595172E-2</v>
      </c>
      <c r="D59" t="s">
        <v>322</v>
      </c>
    </row>
    <row r="60" spans="1:17" ht="15.6" x14ac:dyDescent="0.3">
      <c r="A60" s="22" t="s">
        <v>166</v>
      </c>
      <c r="B60" s="28"/>
      <c r="C60" s="28"/>
    </row>
    <row r="61" spans="1:17" x14ac:dyDescent="0.3">
      <c r="A61" s="1" t="s">
        <v>177</v>
      </c>
      <c r="B61" s="84" t="str" cm="1">
        <f t="array" ref="B61">_xlfn.IFS(
B47&gt;1.8*'Historical Metrics'!B3,"FLAG",
B47&lt;=1.8*'Historical Metrics'!B3,"NO ISSUE"
)</f>
        <v>NO ISSUE</v>
      </c>
      <c r="C61" s="16"/>
      <c r="D61" t="s">
        <v>326</v>
      </c>
    </row>
    <row r="62" spans="1:17" x14ac:dyDescent="0.3">
      <c r="A62" s="1" t="s">
        <v>178</v>
      </c>
      <c r="B62" s="30" t="str" cm="1">
        <f t="array" ref="B62">_xlfn.IFS(
B20&gt;1.25*MAX('Historical Metrics'!I15:M15),"FLAG",
B20&lt;=1.25*MAX('Historical Metrics'!I15:M15),"NO ISSUE"
)</f>
        <v>NO ISSUE</v>
      </c>
      <c r="C62" s="1"/>
      <c r="D62" t="s">
        <v>325</v>
      </c>
    </row>
    <row r="63" spans="1:17" x14ac:dyDescent="0.3">
      <c r="A63" s="1" t="s">
        <v>179</v>
      </c>
      <c r="B63" s="85" t="str" cm="1">
        <f t="array" ref="B63">_xlfn.IFS(
B58&gt;1.5*I63,"FLAG",
B20&lt;=1.5*I63,"NO ISSUE"
)</f>
        <v>FLAG</v>
      </c>
      <c r="C63" s="14"/>
      <c r="D63" t="s">
        <v>327</v>
      </c>
      <c r="G63" t="s">
        <v>328</v>
      </c>
      <c r="I63" s="44">
        <f>(B48*1.5) + (B50/10)</f>
        <v>1.1243182721412099</v>
      </c>
    </row>
    <row r="64" spans="1:17" ht="15.6" x14ac:dyDescent="0.3">
      <c r="A64" s="22"/>
      <c r="B64" s="14"/>
      <c r="C64" s="14"/>
      <c r="M64" s="37"/>
    </row>
    <row r="65" spans="1:13" ht="15.6" x14ac:dyDescent="0.3">
      <c r="A65" s="22"/>
      <c r="B65" s="30"/>
      <c r="C65" s="30"/>
      <c r="M65" s="38"/>
    </row>
    <row r="66" spans="1:13" ht="15.6" x14ac:dyDescent="0.3">
      <c r="A66" s="22"/>
      <c r="B66" s="30"/>
      <c r="C66" s="30"/>
      <c r="M66" s="38"/>
    </row>
    <row r="67" spans="1:13" ht="15.6" x14ac:dyDescent="0.3">
      <c r="A67" s="22"/>
      <c r="B67" s="30"/>
      <c r="C67" s="30"/>
      <c r="M67" s="38"/>
    </row>
    <row r="68" spans="1:13" x14ac:dyDescent="0.3">
      <c r="M68" s="38"/>
    </row>
    <row r="69" spans="1:13" x14ac:dyDescent="0.3">
      <c r="M69" s="3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3128F-243D-42F9-B236-CAC25117270A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B0055-34E1-4222-B75F-49CC8D92748F}">
  <sheetPr codeName="Sheet8"/>
  <dimension ref="A1:AS84"/>
  <sheetViews>
    <sheetView zoomScale="55" zoomScaleNormal="55" workbookViewId="0">
      <selection activeCell="BD41" sqref="BD41"/>
    </sheetView>
  </sheetViews>
  <sheetFormatPr defaultRowHeight="14.4" x14ac:dyDescent="0.3"/>
  <cols>
    <col min="1" max="1" width="45.33203125" bestFit="1" customWidth="1"/>
    <col min="2" max="2" width="21.21875" bestFit="1" customWidth="1"/>
    <col min="3" max="3" width="18.33203125" hidden="1" customWidth="1"/>
    <col min="4" max="4" width="20.88671875" hidden="1" customWidth="1"/>
    <col min="5" max="7" width="18.33203125" hidden="1" customWidth="1"/>
    <col min="8" max="11" width="13.33203125" hidden="1" customWidth="1"/>
    <col min="12" max="13" width="12.21875" hidden="1" customWidth="1"/>
    <col min="14" max="14" width="13.88671875" hidden="1" customWidth="1"/>
    <col min="15" max="15" width="14.5546875" hidden="1" customWidth="1"/>
    <col min="16" max="18" width="13.33203125" hidden="1" customWidth="1"/>
    <col min="19" max="19" width="16.6640625" hidden="1" customWidth="1"/>
    <col min="20" max="20" width="13.33203125" hidden="1" customWidth="1"/>
    <col min="21" max="21" width="8.88671875" hidden="1" customWidth="1"/>
    <col min="22" max="24" width="13.33203125" hidden="1" customWidth="1"/>
    <col min="25" max="25" width="16.33203125" hidden="1" customWidth="1"/>
    <col min="26" max="27" width="13.33203125" hidden="1" customWidth="1"/>
    <col min="28" max="28" width="15.44140625" hidden="1" customWidth="1"/>
    <col min="29" max="29" width="17" hidden="1" customWidth="1"/>
    <col min="30" max="30" width="13.33203125" hidden="1" customWidth="1"/>
    <col min="31" max="31" width="12.21875" hidden="1" customWidth="1"/>
    <col min="32" max="34" width="13.33203125" hidden="1" customWidth="1"/>
    <col min="35" max="35" width="8.88671875" hidden="1" customWidth="1"/>
    <col min="36" max="36" width="35.6640625" hidden="1" customWidth="1"/>
    <col min="37" max="37" width="11.5546875" bestFit="1" customWidth="1"/>
    <col min="38" max="38" width="12.88671875" customWidth="1"/>
    <col min="39" max="39" width="12.6640625" bestFit="1" customWidth="1"/>
    <col min="40" max="40" width="16" customWidth="1"/>
    <col min="41" max="41" width="14" customWidth="1"/>
    <col min="42" max="42" width="11.88671875" bestFit="1" customWidth="1"/>
    <col min="43" max="43" width="14.5546875" bestFit="1" customWidth="1"/>
    <col min="44" max="44" width="23.44140625" bestFit="1" customWidth="1"/>
  </cols>
  <sheetData>
    <row r="1" spans="1:45" ht="21" x14ac:dyDescent="0.4">
      <c r="A1" s="12" t="s">
        <v>555</v>
      </c>
    </row>
    <row r="2" spans="1:45" ht="15.6" x14ac:dyDescent="0.3">
      <c r="A2" s="22" t="s">
        <v>180</v>
      </c>
      <c r="AK2" s="37" t="s">
        <v>523</v>
      </c>
      <c r="AL2" s="37" t="s">
        <v>524</v>
      </c>
      <c r="AN2" s="37" t="s">
        <v>540</v>
      </c>
      <c r="AO2" s="37" t="s">
        <v>524</v>
      </c>
      <c r="AQ2" s="37" t="s">
        <v>549</v>
      </c>
      <c r="AR2" s="37" t="s">
        <v>524</v>
      </c>
      <c r="AS2" t="s">
        <v>573</v>
      </c>
    </row>
    <row r="3" spans="1:45" x14ac:dyDescent="0.3">
      <c r="A3" s="1" t="s">
        <v>181</v>
      </c>
      <c r="B3">
        <f>Dashboard!B6</f>
        <v>381.87</v>
      </c>
      <c r="AK3" s="38" t="s">
        <v>525</v>
      </c>
      <c r="AL3" s="38" t="s">
        <v>526</v>
      </c>
      <c r="AN3" s="38" t="s">
        <v>534</v>
      </c>
      <c r="AO3" s="38" t="s">
        <v>535</v>
      </c>
      <c r="AQ3" s="38" t="s">
        <v>542</v>
      </c>
      <c r="AR3" s="38" t="s">
        <v>543</v>
      </c>
      <c r="AS3" t="s">
        <v>440</v>
      </c>
    </row>
    <row r="4" spans="1:45" x14ac:dyDescent="0.3">
      <c r="A4" s="1" t="s">
        <v>182</v>
      </c>
      <c r="B4">
        <f>Dashboard!B7</f>
        <v>2835625328100</v>
      </c>
      <c r="AK4" s="83" t="s">
        <v>531</v>
      </c>
      <c r="AL4" s="38" t="s">
        <v>527</v>
      </c>
      <c r="AN4" s="38" t="s">
        <v>536</v>
      </c>
      <c r="AO4" s="38" t="s">
        <v>537</v>
      </c>
      <c r="AQ4" s="38" t="s">
        <v>544</v>
      </c>
      <c r="AR4" s="38" t="s">
        <v>545</v>
      </c>
      <c r="AS4" t="s">
        <v>554</v>
      </c>
    </row>
    <row r="5" spans="1:45" x14ac:dyDescent="0.3">
      <c r="A5" s="1" t="s">
        <v>183</v>
      </c>
      <c r="B5">
        <f>'Income Statement'!B20</f>
        <v>7465000000</v>
      </c>
      <c r="AK5" s="83" t="s">
        <v>532</v>
      </c>
      <c r="AL5" s="38" t="s">
        <v>528</v>
      </c>
      <c r="AN5" s="38" t="s">
        <v>538</v>
      </c>
      <c r="AO5" s="38" t="s">
        <v>539</v>
      </c>
      <c r="AQ5" s="38" t="s">
        <v>546</v>
      </c>
      <c r="AR5" s="38" t="s">
        <v>539</v>
      </c>
    </row>
    <row r="6" spans="1:45" x14ac:dyDescent="0.3">
      <c r="A6" s="1" t="s">
        <v>184</v>
      </c>
      <c r="B6">
        <f>'Balance Sheet'!B22</f>
        <v>112184000000</v>
      </c>
      <c r="AK6" s="38" t="s">
        <v>529</v>
      </c>
      <c r="AL6" s="38" t="s">
        <v>530</v>
      </c>
      <c r="AQ6" s="38" t="s">
        <v>547</v>
      </c>
      <c r="AR6" s="38" t="s">
        <v>548</v>
      </c>
    </row>
    <row r="7" spans="1:45" x14ac:dyDescent="0.3">
      <c r="A7" s="79" t="s">
        <v>359</v>
      </c>
      <c r="B7" s="5">
        <v>1.1000000000000001</v>
      </c>
    </row>
    <row r="8" spans="1:45" x14ac:dyDescent="0.3">
      <c r="A8" s="79" t="s">
        <v>185</v>
      </c>
      <c r="B8" s="65">
        <v>3.2000000000000001E-2</v>
      </c>
      <c r="C8" s="43"/>
      <c r="D8" s="43"/>
      <c r="E8" s="43"/>
      <c r="F8" s="43"/>
      <c r="G8" s="43"/>
    </row>
    <row r="9" spans="1:45" x14ac:dyDescent="0.3">
      <c r="A9" s="79" t="s">
        <v>186</v>
      </c>
      <c r="B9" s="65">
        <v>4.4999999999999998E-2</v>
      </c>
      <c r="C9" s="43"/>
      <c r="D9" s="43"/>
      <c r="E9" s="43"/>
      <c r="F9" s="43"/>
      <c r="G9" s="43"/>
    </row>
    <row r="10" spans="1:45" x14ac:dyDescent="0.3">
      <c r="A10" s="1" t="s">
        <v>513</v>
      </c>
      <c r="B10" s="43">
        <f>('Income Statement'!B10/'Balance Sheet'!B21)*(1-B11)</f>
        <v>2.5110280370112981E-2</v>
      </c>
      <c r="C10" s="43"/>
      <c r="D10" s="43"/>
      <c r="E10" s="43"/>
      <c r="F10" s="43"/>
      <c r="G10" s="43"/>
      <c r="AJ10" t="s">
        <v>569</v>
      </c>
    </row>
    <row r="11" spans="1:45" x14ac:dyDescent="0.3">
      <c r="A11" s="1" t="s">
        <v>168</v>
      </c>
      <c r="B11" s="43">
        <f>'Forward Estimates'!B18</f>
        <v>0.16355918897945668</v>
      </c>
      <c r="C11" s="43"/>
      <c r="D11" s="43"/>
      <c r="E11" s="43"/>
      <c r="F11" s="43"/>
      <c r="G11" s="43"/>
    </row>
    <row r="12" spans="1:45" x14ac:dyDescent="0.3">
      <c r="A12" s="1" t="s">
        <v>522</v>
      </c>
      <c r="B12" s="43">
        <f>B14+B13</f>
        <v>7.9963180772788855E-2</v>
      </c>
      <c r="C12" s="43"/>
      <c r="D12" s="43"/>
      <c r="E12" s="43"/>
      <c r="F12" s="43"/>
      <c r="G12" s="43"/>
      <c r="H12" t="s">
        <v>362</v>
      </c>
      <c r="U12" t="s">
        <v>358</v>
      </c>
      <c r="W12" s="59">
        <f>B4+'Balance Sheet'!B21</f>
        <v>2915071328100</v>
      </c>
      <c r="X12" t="s">
        <v>356</v>
      </c>
      <c r="Y12" t="s">
        <v>357</v>
      </c>
      <c r="Z12" t="s">
        <v>361</v>
      </c>
      <c r="AA12" s="60">
        <f>B8+(B7*B9)</f>
        <v>8.1500000000000003E-2</v>
      </c>
      <c r="AB12" t="s">
        <v>360</v>
      </c>
      <c r="AC12" s="61">
        <f>'Income Statement'!B10/'Balance Sheet'!B21</f>
        <v>3.0020391209123178E-2</v>
      </c>
      <c r="AE12" s="62">
        <f>(B4/W12)</f>
        <v>0.97274646447441071</v>
      </c>
      <c r="AF12" s="63">
        <f>('Balance Sheet'!B21/W12)</f>
        <v>2.7253535525589255E-2</v>
      </c>
    </row>
    <row r="13" spans="1:45" x14ac:dyDescent="0.3">
      <c r="A13" s="79" t="s">
        <v>521</v>
      </c>
      <c r="B13" s="43">
        <v>0</v>
      </c>
      <c r="C13" s="43"/>
      <c r="D13" s="43"/>
      <c r="E13" s="43"/>
      <c r="F13" s="43"/>
      <c r="G13" s="43"/>
      <c r="W13" s="59"/>
      <c r="AA13" s="60"/>
      <c r="AC13" s="61"/>
      <c r="AE13" s="62"/>
      <c r="AF13" s="63"/>
    </row>
    <row r="14" spans="1:45" x14ac:dyDescent="0.3">
      <c r="A14" s="1" t="s">
        <v>520</v>
      </c>
      <c r="B14" s="43">
        <f>(AE12*AA12) + (AF12*AC12*(1-'Forward Estimates'!B18))</f>
        <v>7.9963180772788855E-2</v>
      </c>
      <c r="C14" s="43"/>
      <c r="D14" s="43"/>
      <c r="E14" s="43"/>
      <c r="F14" s="43"/>
      <c r="G14" s="43"/>
      <c r="W14" s="59"/>
      <c r="AA14" s="60"/>
      <c r="AC14" s="61"/>
      <c r="AE14" s="62"/>
      <c r="AF14" s="63"/>
    </row>
    <row r="15" spans="1:45" ht="15.6" x14ac:dyDescent="0.3">
      <c r="A15" s="22" t="s">
        <v>187</v>
      </c>
    </row>
    <row r="16" spans="1:45" x14ac:dyDescent="0.3">
      <c r="A16" s="1" t="s">
        <v>188</v>
      </c>
      <c r="B16" s="44">
        <f>'Forward Estimates'!W48</f>
        <v>15.918052505103084</v>
      </c>
      <c r="C16" s="44"/>
      <c r="D16" s="44"/>
      <c r="E16" s="44"/>
      <c r="F16" s="44"/>
      <c r="G16" s="44"/>
      <c r="H16" t="s">
        <v>514</v>
      </c>
    </row>
    <row r="17" spans="1:34" x14ac:dyDescent="0.3">
      <c r="A17" s="1" t="s">
        <v>189</v>
      </c>
      <c r="B17" s="67">
        <f>C22/B5</f>
        <v>22.578558950455463</v>
      </c>
      <c r="C17" s="67"/>
      <c r="D17" s="67"/>
      <c r="E17" s="67"/>
      <c r="F17" s="67"/>
      <c r="G17" s="67"/>
      <c r="H17" t="s">
        <v>363</v>
      </c>
    </row>
    <row r="18" spans="1:34" ht="15.6" x14ac:dyDescent="0.3">
      <c r="A18" s="22" t="s">
        <v>374</v>
      </c>
      <c r="C18" s="66" t="s">
        <v>375</v>
      </c>
      <c r="D18" s="66" t="s">
        <v>376</v>
      </c>
      <c r="E18" s="66" t="s">
        <v>377</v>
      </c>
      <c r="F18" s="66" t="s">
        <v>378</v>
      </c>
      <c r="G18" s="66" t="s">
        <v>379</v>
      </c>
    </row>
    <row r="19" spans="1:34" x14ac:dyDescent="0.3">
      <c r="A19" s="1" t="s">
        <v>190</v>
      </c>
      <c r="B19" s="44"/>
      <c r="C19" s="44">
        <f>'Forward Estimates'!G23</f>
        <v>319539857734.10498</v>
      </c>
      <c r="D19">
        <f>'Forward Estimates'!H23</f>
        <v>357284717754.53339</v>
      </c>
      <c r="E19">
        <f>'Forward Estimates'!I23</f>
        <v>394423691102.4787</v>
      </c>
      <c r="F19">
        <f>'Forward Estimates'!J23</f>
        <v>430503241659.44128</v>
      </c>
      <c r="G19">
        <f>'Forward Estimates'!K23</f>
        <v>465157549106.07538</v>
      </c>
    </row>
    <row r="20" spans="1:34" x14ac:dyDescent="0.3">
      <c r="A20" s="1" t="s">
        <v>191</v>
      </c>
      <c r="C20">
        <f>'Forward Estimates'!$B$20*C19</f>
        <v>142064160888.57727</v>
      </c>
      <c r="D20">
        <f>'Forward Estimates'!$B$20*D19</f>
        <v>158845140590.71179</v>
      </c>
      <c r="E20">
        <f>'Forward Estimates'!$B$20*E19</f>
        <v>175356749259.35382</v>
      </c>
      <c r="F20">
        <f>'Forward Estimates'!$B$20*F19</f>
        <v>191397349363.07236</v>
      </c>
      <c r="G20">
        <f>'Forward Estimates'!$B$20*G19</f>
        <v>206804300919.88715</v>
      </c>
      <c r="N20" s="69" t="s">
        <v>291</v>
      </c>
      <c r="O20" s="68">
        <f>C20*(1-'Forward Estimates'!$B$18)</f>
        <v>118828261950.59453</v>
      </c>
      <c r="P20" s="68">
        <f>D20*(1-'Forward Estimates'!$B$18)</f>
        <v>132864558222.3672</v>
      </c>
      <c r="Q20" s="68">
        <f>E20*(1-'Forward Estimates'!$B$18)</f>
        <v>146675541568.41998</v>
      </c>
      <c r="R20" s="68">
        <f>F20*(1-'Forward Estimates'!$B$18)</f>
        <v>160092554128.43051</v>
      </c>
      <c r="S20" s="68">
        <f>G20*(1-'Forward Estimates'!$B$18)</f>
        <v>172979557183.96692</v>
      </c>
      <c r="U20" s="70" t="s">
        <v>371</v>
      </c>
      <c r="V20" s="71">
        <f>C19*'Forward Estimates'!$AQ$36</f>
        <v>-44515066291.573151</v>
      </c>
      <c r="W20" s="71">
        <f>D19*'Forward Estimates'!$AQ$36</f>
        <v>-49773299045.039719</v>
      </c>
      <c r="X20" s="71">
        <f>E19*'Forward Estimates'!$AQ$36</f>
        <v>-54947125785.491135</v>
      </c>
      <c r="Y20" s="71">
        <f>F19*'Forward Estimates'!$AQ$36</f>
        <v>-59973364440.669502</v>
      </c>
      <c r="Z20" s="71">
        <f>G19*'Forward Estimates'!$AQ$36</f>
        <v>-64801052617.707909</v>
      </c>
      <c r="AB20" s="72" t="s">
        <v>372</v>
      </c>
      <c r="AC20" s="64">
        <f>V20-$AH$20</f>
        <v>-49720680614.555504</v>
      </c>
      <c r="AD20" s="64">
        <f>W20-$AH$20</f>
        <v>-54978913368.022072</v>
      </c>
      <c r="AE20" s="64">
        <f>X20-$AH$20</f>
        <v>-60152740108.473488</v>
      </c>
      <c r="AF20" s="64">
        <f>Y20-$AH$20</f>
        <v>-65178978763.651855</v>
      </c>
      <c r="AG20" s="64">
        <f>'Forward Estimates'!B4</f>
        <v>70006666940.393005</v>
      </c>
      <c r="AH20" s="42">
        <f>'Forward Estimates'!B37+'Forward Estimates'!B41</f>
        <v>5205614322.9823523</v>
      </c>
    </row>
    <row r="21" spans="1:34" x14ac:dyDescent="0.3">
      <c r="A21" s="1" t="s">
        <v>192</v>
      </c>
      <c r="B21" s="44"/>
      <c r="C21" s="44">
        <f>C20*(1-'Forward Estimates'!$B$18)</f>
        <v>118828261950.59453</v>
      </c>
      <c r="D21" s="44">
        <f>D20*(1-'Forward Estimates'!$B$18)</f>
        <v>132864558222.3672</v>
      </c>
      <c r="E21" s="44">
        <f>E20*(1-'Forward Estimates'!$B$18)</f>
        <v>146675541568.41998</v>
      </c>
      <c r="F21" s="44">
        <f>F20*(1-'Forward Estimates'!$B$18)</f>
        <v>160092554128.43051</v>
      </c>
      <c r="G21" s="44">
        <f>G20*(1-'Forward Estimates'!$B$18)</f>
        <v>172979557183.96692</v>
      </c>
    </row>
    <row r="22" spans="1:34" x14ac:dyDescent="0.3">
      <c r="A22" s="1" t="s">
        <v>193</v>
      </c>
      <c r="B22" s="44"/>
      <c r="C22" s="44">
        <f>O20-AC20</f>
        <v>168548942565.15002</v>
      </c>
      <c r="D22">
        <f>P20-AD20</f>
        <v>187843471590.38928</v>
      </c>
      <c r="E22">
        <f>Q20-AE20</f>
        <v>206828281676.89346</v>
      </c>
      <c r="F22">
        <f>R20-AF20</f>
        <v>225271532892.08237</v>
      </c>
      <c r="G22">
        <f>S20-AG20</f>
        <v>102972890243.57391</v>
      </c>
      <c r="H22" t="s">
        <v>368</v>
      </c>
    </row>
    <row r="23" spans="1:34" x14ac:dyDescent="0.3">
      <c r="A23" s="1" t="s">
        <v>194</v>
      </c>
      <c r="B23" s="43">
        <f>'Forward Estimates'!B30</f>
        <v>0.27494617879212391</v>
      </c>
      <c r="C23" s="43"/>
      <c r="D23" s="43"/>
      <c r="E23" s="43"/>
      <c r="F23" s="43"/>
      <c r="G23" s="43"/>
      <c r="H23" t="s">
        <v>292</v>
      </c>
      <c r="O23" s="73" t="s">
        <v>290</v>
      </c>
      <c r="P23" s="74">
        <f>C19/'Forward Estimates'!$AH$29</f>
        <v>432187355622.19232</v>
      </c>
      <c r="Q23" s="74">
        <f>D19/'Forward Estimates'!$AH$29</f>
        <v>483238424356.57538</v>
      </c>
      <c r="R23" s="74">
        <f>E19/'Forward Estimates'!$AH$29</f>
        <v>533470012977.76044</v>
      </c>
      <c r="S23" s="74">
        <f>F19/'Forward Estimates'!$AH$29</f>
        <v>582268700120.65259</v>
      </c>
      <c r="T23" s="74">
        <f>G19/'Forward Estimates'!$AH$29</f>
        <v>629139702700.6875</v>
      </c>
    </row>
    <row r="24" spans="1:34" ht="15.6" x14ac:dyDescent="0.3">
      <c r="A24" s="22" t="s">
        <v>560</v>
      </c>
    </row>
    <row r="25" spans="1:34" x14ac:dyDescent="0.3">
      <c r="A25" s="1" t="s">
        <v>366</v>
      </c>
      <c r="B25">
        <f>SUM(H25:L25)</f>
        <v>717026839438.09485</v>
      </c>
      <c r="H25">
        <f>C22/((1+$B$12)^1)</f>
        <v>156069156398.96307</v>
      </c>
      <c r="I25">
        <f>D22/((1+$B$12)^2)</f>
        <v>161056481583.0426</v>
      </c>
      <c r="J25">
        <f>E22/((1+$B$12)^3)</f>
        <v>164203751819.73853</v>
      </c>
      <c r="K25">
        <f>F22/((1+$B$12)^4)</f>
        <v>165603883495.01889</v>
      </c>
      <c r="L25">
        <f>G22/((1+$B$12)^5)</f>
        <v>70093566141.331818</v>
      </c>
      <c r="O25" t="s">
        <v>370</v>
      </c>
    </row>
    <row r="26" spans="1:34" x14ac:dyDescent="0.3">
      <c r="A26" s="1" t="s">
        <v>432</v>
      </c>
      <c r="B26" s="43">
        <f>B29/B23</f>
        <v>9.0926886526768308E-2</v>
      </c>
      <c r="H26" t="s">
        <v>433</v>
      </c>
    </row>
    <row r="27" spans="1:34" x14ac:dyDescent="0.3">
      <c r="A27" s="1" t="s">
        <v>435</v>
      </c>
      <c r="B27" s="44">
        <f>S20*(B29/B23)</f>
        <v>15728492567.517189</v>
      </c>
      <c r="H27" t="s">
        <v>436</v>
      </c>
    </row>
    <row r="28" spans="1:34" x14ac:dyDescent="0.3">
      <c r="A28" s="1" t="s">
        <v>434</v>
      </c>
      <c r="B28" s="44">
        <f>S20-B27</f>
        <v>157251064616.44974</v>
      </c>
      <c r="H28" t="s">
        <v>437</v>
      </c>
    </row>
    <row r="29" spans="1:34" x14ac:dyDescent="0.3">
      <c r="A29" s="79" t="s">
        <v>517</v>
      </c>
      <c r="B29" s="65">
        <v>2.5000000000000001E-2</v>
      </c>
      <c r="C29" s="43"/>
      <c r="E29" s="43"/>
      <c r="F29" s="43"/>
      <c r="G29" s="43"/>
      <c r="H29" s="43"/>
    </row>
    <row r="30" spans="1:34" x14ac:dyDescent="0.3">
      <c r="A30" s="1" t="s">
        <v>195</v>
      </c>
      <c r="B30" s="75">
        <f>B28/(B12-B29)</f>
        <v>2861025552114.7261</v>
      </c>
      <c r="H30" t="s">
        <v>438</v>
      </c>
      <c r="K30" t="s">
        <v>365</v>
      </c>
      <c r="N30" t="s">
        <v>367</v>
      </c>
    </row>
    <row r="31" spans="1:34" x14ac:dyDescent="0.3">
      <c r="A31" s="1" t="s">
        <v>431</v>
      </c>
      <c r="B31" s="75">
        <f>B30/((1+B12)^5)</f>
        <v>1947497863707.9551</v>
      </c>
      <c r="H31" t="s">
        <v>439</v>
      </c>
    </row>
    <row r="32" spans="1:34" x14ac:dyDescent="0.3">
      <c r="A32" s="1" t="s">
        <v>196</v>
      </c>
      <c r="B32" s="44">
        <f>O32/B5</f>
        <v>341.90766284608839</v>
      </c>
      <c r="H32" t="s">
        <v>364</v>
      </c>
      <c r="K32" s="75">
        <f>B30/B33</f>
        <v>1.0737470546760794</v>
      </c>
      <c r="L32" t="s">
        <v>373</v>
      </c>
      <c r="O32" s="78">
        <f>B33-'Balance Sheet'!B22</f>
        <v>2552340703146.0498</v>
      </c>
      <c r="P32" t="s">
        <v>558</v>
      </c>
      <c r="W32" s="76"/>
      <c r="AC32" s="57"/>
      <c r="AD32" s="57"/>
    </row>
    <row r="33" spans="1:30" x14ac:dyDescent="0.3">
      <c r="A33" s="1" t="s">
        <v>572</v>
      </c>
      <c r="B33" s="88">
        <f>B25+B31</f>
        <v>2664524703146.0498</v>
      </c>
      <c r="K33" s="75"/>
      <c r="O33" s="78"/>
      <c r="T33" s="77"/>
      <c r="W33" s="76"/>
      <c r="AC33" s="57"/>
      <c r="AD33" s="57"/>
    </row>
    <row r="34" spans="1:30" x14ac:dyDescent="0.3">
      <c r="A34" s="1" t="s">
        <v>518</v>
      </c>
      <c r="B34" s="43">
        <f>B31/B33</f>
        <v>0.73089878333967451</v>
      </c>
      <c r="H34" s="75" t="s">
        <v>519</v>
      </c>
      <c r="O34" s="78"/>
      <c r="T34" s="77"/>
      <c r="W34" s="76"/>
      <c r="AC34" s="57"/>
      <c r="AD34" s="57"/>
    </row>
    <row r="35" spans="1:30" ht="15.6" x14ac:dyDescent="0.3">
      <c r="A35" s="22" t="s">
        <v>197</v>
      </c>
    </row>
    <row r="36" spans="1:30" x14ac:dyDescent="0.3">
      <c r="A36" s="1" t="s">
        <v>175</v>
      </c>
      <c r="B36" s="44">
        <f>B3/B16</f>
        <v>23.989743712528799</v>
      </c>
      <c r="H36" t="s">
        <v>487</v>
      </c>
    </row>
    <row r="37" spans="1:30" x14ac:dyDescent="0.3">
      <c r="A37" s="1" t="s">
        <v>198</v>
      </c>
      <c r="B37" s="44">
        <f>B33/C20</f>
        <v>18.755783911157369</v>
      </c>
      <c r="H37" s="80"/>
      <c r="J37" t="s">
        <v>515</v>
      </c>
      <c r="L37" t="s">
        <v>497</v>
      </c>
      <c r="O37" t="s">
        <v>488</v>
      </c>
    </row>
    <row r="38" spans="1:30" x14ac:dyDescent="0.3">
      <c r="A38" s="1" t="s">
        <v>176</v>
      </c>
      <c r="B38" s="43">
        <f>C22/B4</f>
        <v>5.9439778906928302E-2</v>
      </c>
      <c r="H38" t="s">
        <v>489</v>
      </c>
    </row>
    <row r="39" spans="1:30" x14ac:dyDescent="0.3">
      <c r="A39" s="8" t="s">
        <v>199</v>
      </c>
    </row>
    <row r="40" spans="1:30" x14ac:dyDescent="0.3">
      <c r="A40" s="1" t="s">
        <v>500</v>
      </c>
      <c r="B40" s="44">
        <f>B36/L40</f>
        <v>0.74129671303804923</v>
      </c>
      <c r="H40" t="s">
        <v>499</v>
      </c>
      <c r="J40" t="s">
        <v>498</v>
      </c>
      <c r="L40" s="82">
        <f>B3/(MEDIAN('Income Statement'!B18:D18))</f>
        <v>32.361864406779659</v>
      </c>
      <c r="M40" s="44"/>
      <c r="N40" t="s">
        <v>501</v>
      </c>
    </row>
    <row r="41" spans="1:30" x14ac:dyDescent="0.3">
      <c r="A41" s="1" t="s">
        <v>491</v>
      </c>
      <c r="B41" s="43">
        <f>(B38-K41)/K41</f>
        <v>1.5871301564897393</v>
      </c>
      <c r="I41" t="s">
        <v>502</v>
      </c>
      <c r="K41" s="81">
        <f>L41/B4</f>
        <v>2.2975179179843496E-2</v>
      </c>
      <c r="L41" cm="1">
        <f t="array" ref="L41">MEDIAN(IF('Cash Flow Statement'!B13:F13&gt;0,'Cash Flow Statement'!B13:F13))</f>
        <v>65149000000</v>
      </c>
      <c r="N41" t="s">
        <v>503</v>
      </c>
    </row>
    <row r="42" spans="1:30" x14ac:dyDescent="0.3">
      <c r="A42" s="1" t="s">
        <v>200</v>
      </c>
      <c r="B42" s="43">
        <f>((B36-L40)/L40)</f>
        <v>-0.25870328696195083</v>
      </c>
      <c r="H42" t="s">
        <v>490</v>
      </c>
    </row>
    <row r="43" spans="1:30" x14ac:dyDescent="0.3">
      <c r="A43" s="8" t="s">
        <v>559</v>
      </c>
    </row>
    <row r="44" spans="1:30" x14ac:dyDescent="0.3">
      <c r="A44" s="1" t="s">
        <v>516</v>
      </c>
      <c r="B44" s="43">
        <f>B8+(B7*B9)</f>
        <v>8.1500000000000003E-2</v>
      </c>
      <c r="H44" t="s">
        <v>504</v>
      </c>
    </row>
    <row r="45" spans="1:30" x14ac:dyDescent="0.3">
      <c r="A45" s="1" t="s">
        <v>201</v>
      </c>
      <c r="B45" s="44">
        <f>('Forward Estimates'!AA48*L40)/((1+B44)^5)</f>
        <v>497.30770970616965</v>
      </c>
      <c r="F45" s="44"/>
      <c r="H45" s="66" t="s">
        <v>505</v>
      </c>
      <c r="K45" t="s">
        <v>506</v>
      </c>
    </row>
    <row r="46" spans="1:30" ht="15.6" x14ac:dyDescent="0.3">
      <c r="A46" s="22" t="s">
        <v>202</v>
      </c>
    </row>
    <row r="47" spans="1:30" x14ac:dyDescent="0.3">
      <c r="A47" s="1" t="s">
        <v>203</v>
      </c>
      <c r="B47" s="43">
        <f>B44-B38</f>
        <v>2.2060221093071701E-2</v>
      </c>
      <c r="H47" t="s">
        <v>492</v>
      </c>
    </row>
    <row r="48" spans="1:30" x14ac:dyDescent="0.3">
      <c r="A48" s="1" t="s">
        <v>204</v>
      </c>
      <c r="B48" s="43">
        <f>I48-B47</f>
        <v>-0.13796464458693569</v>
      </c>
      <c r="H48" t="s">
        <v>507</v>
      </c>
      <c r="I48" s="81">
        <f>(M48^(1/4))-1</f>
        <v>-0.11590442349386398</v>
      </c>
      <c r="J48" t="s">
        <v>508</v>
      </c>
      <c r="M48" s="47">
        <f>G22/C22</f>
        <v>0.6109376224877312</v>
      </c>
      <c r="N48" t="s">
        <v>493</v>
      </c>
      <c r="R48" s="43"/>
    </row>
    <row r="49" spans="1:13" ht="15.6" x14ac:dyDescent="0.3">
      <c r="A49" s="22" t="s">
        <v>561</v>
      </c>
    </row>
    <row r="50" spans="1:13" x14ac:dyDescent="0.3">
      <c r="A50" s="1" t="s">
        <v>205</v>
      </c>
      <c r="B50" s="43">
        <f>SUM(B51:B53)</f>
        <v>5.2347876570943905E-3</v>
      </c>
    </row>
    <row r="51" spans="1:13" x14ac:dyDescent="0.3">
      <c r="A51" s="1" t="s">
        <v>206</v>
      </c>
      <c r="B51" s="43">
        <f>(M48^(1/4))-1</f>
        <v>-0.11590442349386398</v>
      </c>
      <c r="H51" t="s">
        <v>494</v>
      </c>
    </row>
    <row r="52" spans="1:13" x14ac:dyDescent="0.3">
      <c r="A52" s="1" t="s">
        <v>207</v>
      </c>
      <c r="B52" s="43">
        <f>B38</f>
        <v>5.9439778906928302E-2</v>
      </c>
      <c r="H52" t="s">
        <v>176</v>
      </c>
    </row>
    <row r="53" spans="1:13" x14ac:dyDescent="0.3">
      <c r="A53" s="1" t="s">
        <v>208</v>
      </c>
      <c r="B53" s="43">
        <f>((L40/B36)^(1/5))-1</f>
        <v>6.1699432244030072E-2</v>
      </c>
      <c r="H53" t="s">
        <v>509</v>
      </c>
      <c r="J53" t="s">
        <v>510</v>
      </c>
      <c r="M53" t="s">
        <v>511</v>
      </c>
    </row>
    <row r="54" spans="1:13" ht="15.6" x14ac:dyDescent="0.3">
      <c r="A54" s="22" t="s">
        <v>209</v>
      </c>
    </row>
    <row r="55" spans="1:13" x14ac:dyDescent="0.3">
      <c r="A55" s="1" t="s">
        <v>512</v>
      </c>
      <c r="B55" s="44">
        <f>B36/'Forward Estimates'!W48</f>
        <v>1.5070778102307461</v>
      </c>
      <c r="H55" t="s">
        <v>495</v>
      </c>
    </row>
    <row r="56" spans="1:13" x14ac:dyDescent="0.3">
      <c r="A56" s="1" t="s">
        <v>210</v>
      </c>
      <c r="B56" s="44">
        <f>B52/B44</f>
        <v>0.72932244057580731</v>
      </c>
      <c r="H56" t="s">
        <v>533</v>
      </c>
    </row>
    <row r="57" spans="1:13" x14ac:dyDescent="0.3">
      <c r="A57" s="1" t="s">
        <v>211</v>
      </c>
      <c r="B57" s="43">
        <f>B23-B12</f>
        <v>0.19498299801933505</v>
      </c>
      <c r="H57" t="s">
        <v>541</v>
      </c>
    </row>
    <row r="58" spans="1:13" ht="15.6" x14ac:dyDescent="0.3">
      <c r="A58" s="22" t="s">
        <v>212</v>
      </c>
    </row>
    <row r="59" spans="1:13" x14ac:dyDescent="0.3">
      <c r="A59" s="8" t="s">
        <v>213</v>
      </c>
    </row>
    <row r="60" spans="1:13" x14ac:dyDescent="0.3">
      <c r="A60" s="1" t="s">
        <v>214</v>
      </c>
      <c r="B60" cm="1">
        <f t="array" ref="B60">_xlfn.IFS(
C60&gt;0.4,5,
C60&gt;0.25,4,
C60&gt;0.1,3,
C60&gt;-0.1,2,
C60&gt;-0.25,1,
TRUE,0
)</f>
        <v>1</v>
      </c>
      <c r="C60" s="44">
        <f>(B32-B3)/B3</f>
        <v>-0.10464906160188446</v>
      </c>
      <c r="H60" t="s">
        <v>550</v>
      </c>
    </row>
    <row r="61" spans="1:13" x14ac:dyDescent="0.3">
      <c r="A61" s="1" t="s">
        <v>215</v>
      </c>
      <c r="B61" cm="1">
        <f t="array" ref="B61">_xlfn.IFS(
C61&lt;1,5,
C61&lt;1.5,4,
C61&lt;2,3,
C61&lt;3,2,
C61&lt;4,1,
TRUE,0
)</f>
        <v>3</v>
      </c>
      <c r="C61" s="44">
        <f>B55</f>
        <v>1.5070778102307461</v>
      </c>
      <c r="H61" t="s">
        <v>551</v>
      </c>
    </row>
    <row r="62" spans="1:13" x14ac:dyDescent="0.3">
      <c r="A62" s="1" t="s">
        <v>92</v>
      </c>
      <c r="B62" cm="1">
        <f t="array" ref="B62">_xlfn.IFS(
C62&gt;0.05,5,
C62&gt;0.02,4,
C62&gt;0,3,
C62&gt;-0.02,2,
C62&gt;-0.05,1,
TRUE,0
)</f>
        <v>1</v>
      </c>
      <c r="C62" s="44">
        <f>B38-B44</f>
        <v>-2.2060221093071701E-2</v>
      </c>
      <c r="H62" t="s">
        <v>552</v>
      </c>
    </row>
    <row r="63" spans="1:13" x14ac:dyDescent="0.3">
      <c r="A63" s="1" t="s">
        <v>216</v>
      </c>
      <c r="B63" cm="1">
        <f t="array" ref="B63">_xlfn.IFS(
C63&gt;0.2,5,
C63&gt;0.15,4,
C63&gt;0.1,3,
C63&gt;0.07,2,
C63&gt;0.05,1,
TRUE,0
)</f>
        <v>0</v>
      </c>
      <c r="C63" s="43">
        <f>B51+B52+B53</f>
        <v>5.2347876570943905E-3</v>
      </c>
      <c r="H63" t="s">
        <v>553</v>
      </c>
    </row>
    <row r="64" spans="1:13" x14ac:dyDescent="0.3">
      <c r="A64" s="1" t="s">
        <v>217</v>
      </c>
      <c r="B64" cm="1">
        <f t="array" ref="B64">_xlfn.IFS(
C64&gt;0.06,5,
C64&gt;0.03,4,
C64&gt;0.01,3,
C64&gt;-0.01,2,
C64&gt;-0.03,1,
TRUE,0
)</f>
        <v>0</v>
      </c>
      <c r="C64" s="43">
        <f>I48-B47</f>
        <v>-0.13796464458693569</v>
      </c>
      <c r="H64" t="s">
        <v>496</v>
      </c>
    </row>
    <row r="65" spans="1:1" x14ac:dyDescent="0.3">
      <c r="A65" s="1"/>
    </row>
    <row r="66" spans="1:1" x14ac:dyDescent="0.3">
      <c r="A66" s="8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8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8"/>
    </row>
    <row r="75" spans="1:1" x14ac:dyDescent="0.3">
      <c r="A75" s="1"/>
    </row>
    <row r="76" spans="1:1" x14ac:dyDescent="0.3">
      <c r="A76" s="1"/>
    </row>
    <row r="77" spans="1:1" x14ac:dyDescent="0.3">
      <c r="A77" s="8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ht="15.6" x14ac:dyDescent="0.3">
      <c r="A81" s="22"/>
    </row>
    <row r="82" spans="1:1" x14ac:dyDescent="0.3">
      <c r="A82" s="1"/>
    </row>
    <row r="83" spans="1:1" x14ac:dyDescent="0.3">
      <c r="A83" s="1"/>
    </row>
    <row r="84" spans="1:1" x14ac:dyDescent="0.3">
      <c r="A84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00860-1A38-48ED-8F78-9FB16605D899}">
  <sheetPr codeName="Sheet9"/>
  <dimension ref="A1"/>
  <sheetViews>
    <sheetView workbookViewId="0"/>
  </sheetViews>
  <sheetFormatPr defaultRowHeight="14.4" x14ac:dyDescent="0.3"/>
  <sheetData>
    <row r="1" spans="1:1" x14ac:dyDescent="0.3">
      <c r="A1" t="s">
        <v>140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752672-2F36-42CB-9223-6F03E2232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Raw_Quote</vt:lpstr>
      <vt:lpstr>Raw_CashFlow</vt:lpstr>
      <vt:lpstr>Cash Flow Statement</vt:lpstr>
      <vt:lpstr>Raw_Balance</vt:lpstr>
      <vt:lpstr>Balance Sheet</vt:lpstr>
      <vt:lpstr>Raw_Income</vt:lpstr>
      <vt:lpstr>Income Statement</vt:lpstr>
      <vt:lpstr>Model Control</vt:lpstr>
      <vt:lpstr>Historical Metrics</vt:lpstr>
      <vt:lpstr>Forward Estimates</vt:lpstr>
      <vt:lpstr>Peer Comparison</vt:lpstr>
      <vt:lpstr>Valuation &amp; Return</vt:lpstr>
      <vt:lpstr>Risk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Milind Pradeesh</dc:creator>
  <cp:lastModifiedBy>Milind Pradeesh</cp:lastModifiedBy>
  <dcterms:created xsi:type="dcterms:W3CDTF">2026-01-04T14:22:14Z</dcterms:created>
  <dcterms:modified xsi:type="dcterms:W3CDTF">2026-03-23T15:42:06Z</dcterms:modified>
</cp:coreProperties>
</file>